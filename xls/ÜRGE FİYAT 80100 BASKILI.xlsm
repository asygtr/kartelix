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filterPrivacy="1" codeName="BuÇalışmaKitabı" defaultThemeVersion="124226"/>
  <xr:revisionPtr revIDLastSave="0" documentId="13_ncr:1_{28E52911-15DC-4051-BBE3-472E3B43A21A}" xr6:coauthVersionLast="47" xr6:coauthVersionMax="47" xr10:uidLastSave="{00000000-0000-0000-0000-000000000000}"/>
  <bookViews>
    <workbookView xWindow="7500" yWindow="2970" windowWidth="21600" windowHeight="11295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7" i="1" l="1"/>
  <c r="AM7" i="1" s="1"/>
  <c r="AJ6" i="1"/>
  <c r="AM6" i="1" s="1"/>
  <c r="AJ5" i="1"/>
  <c r="AM5" i="1" s="1"/>
  <c r="AJ4" i="1"/>
  <c r="AM4" i="1" s="1"/>
  <c r="AJ3" i="1"/>
  <c r="AM3" i="1" s="1"/>
  <c r="AJ16" i="1"/>
  <c r="AJ15" i="1"/>
  <c r="AJ14" i="1"/>
  <c r="AJ13" i="1"/>
  <c r="AJ12" i="1"/>
  <c r="AJ11" i="1"/>
  <c r="AJ10" i="1"/>
  <c r="AJ9" i="1"/>
  <c r="AJ8" i="1"/>
  <c r="AM17" i="1" l="1"/>
  <c r="AM18" i="1"/>
  <c r="AM8" i="1" l="1"/>
  <c r="AM9" i="1"/>
  <c r="AM10" i="1"/>
  <c r="AM11" i="1"/>
  <c r="AM12" i="1"/>
  <c r="AM13" i="1"/>
  <c r="AM14" i="1"/>
  <c r="AM15" i="1"/>
  <c r="AM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C3" authorId="0" shapeId="0" xr:uid="{65D83D97-9158-4ADC-AE14-DED5EAB14069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2026.1032.25.1
</t>
        </r>
      </text>
    </comment>
    <comment ref="AI3" authorId="0" shapeId="0" xr:uid="{A94DCD39-3108-4E7D-936C-8FD3D5E9324F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7E0523A1-8676-49D5-97F9-D11005DB602E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F598788C-5DAB-4B67-AA23-E7A42B29035A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7D5EDF55-1059-4AFA-B60F-A686C917BCB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8AD64AAD-3094-48AC-A096-A645B556027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FE6B3743-65D8-48AB-A0F5-8E657B44BD3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15169C9F-0E5B-4773-AD76-CE12CAAA306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<sst xmlns="http://schemas.openxmlformats.org/spreadsheetml/2006/main" count="100" uniqueCount="91">
  <si>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</si>
  <si>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</si>
  <si>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</si>
  <si>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</si>
  <si>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</si>
  <si>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</si>
  <si>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</si>
  <si>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</si>
  <si>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</si>
  <si>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</si>
  <si>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</si>
  <si>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</si>
  <si>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</si>
  <si>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</si>
  <si>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</si>
  <si>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</si>
  <si>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</si>
  <si>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</si>
  <si>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</si>
  <si>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</si>
  <si>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</si>
  <si>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</si>
  <si>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</si>
  <si>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</si>
  <si>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</si>
  <si>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</si>
  <si>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</si>
  <si>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</si>
  <si>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</si>
  <si>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</si>
  <si>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</si>
  <si>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</si>
  <si>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</si>
  <si>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</si>
  <si>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</si>
  <si>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</si>
  <si>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</si>
  <si>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</si>
  <si>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</si>
  <si>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</si>
  <si>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</si>
  <si>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</si>
  <si>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</si>
  <si>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</si>
  <si>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</si>
  <si>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</si>
  <si>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</si>
  <si>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</si>
  <si>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</si>
  <si>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</si>
  <si>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</si>
  <si>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</si>
  <si>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</si>
  <si>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</si>
  <si>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</si>
  <si>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</si>
  <si>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</si>
  <si>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</si>
  <si>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</si>
  <si>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</si>
  <si>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</si>
  <si>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</si>
  <si>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</si>
  <si>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BYM:ÇBYM:ENZİM:RAM:AEN SANFOR:ŞRD:TRŞ:FRÇ:ÇİFT ŞRD:ÇİFT FRÇ</t>
  </si>
  <si>
    <t>SİPARİŞ</t>
  </si>
  <si>
    <t>STANDART
TUŞE</t>
  </si>
  <si>
    <t>1031.53.1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</si>
  <si>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</si>
  <si>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</si>
  <si>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</si>
  <si>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</si>
  <si>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</si>
  <si>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</si>
  <si>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</si>
  <si>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</si>
  <si>
    <t>1031.54.1</t>
  </si>
  <si>
    <t>BROWN</t>
  </si>
  <si>
    <t>28/1</t>
  </si>
  <si>
    <t>24/1</t>
  </si>
  <si>
    <t>21/29/21</t>
  </si>
  <si>
    <t>28/24/28 KESİK ELYAF %100 PES//PENYE//KESİK ELYAF %100 PES</t>
  </si>
  <si>
    <t>DIAGONAL OTTOMAN INTERLOCK</t>
  </si>
  <si>
    <t>34/24</t>
  </si>
  <si>
    <t xml:space="preserve">%42 Cotton %58 Polyester </t>
  </si>
  <si>
    <t>PAMUK BYM+ŞRD+TRAŞ+RAM</t>
  </si>
  <si>
    <t>NAVY BLUE</t>
  </si>
  <si>
    <t>test ürün</t>
  </si>
  <si>
    <t>test test2</t>
  </si>
  <si>
    <t>test test3</t>
  </si>
  <si>
    <t>test test 4</t>
  </si>
  <si>
    <t>test test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</si>
</sst>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12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G1" zoomScale="115" zoomScaleNormal="115" workbookViewId="0">
      <pane ySplit="2" topLeftCell="A4" activePane="bottomLeft" state="frozen"/>
      <selection pane="bottomLeft" activeCell="N11" sqref="N11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63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64</v>
      </c>
      <c r="C2" s="85" t="s">
        <v>1</v>
      </c>
      <c r="D2" s="85" t="s">
        <v>0</v>
      </c>
      <c r="E2" s="85" t="s">
        <v>61</v>
      </c>
      <c r="F2" s="86" t="s">
        <v>8</v>
      </c>
      <c r="G2" s="86" t="s">
        <v>9</v>
      </c>
      <c r="H2" s="86" t="s">
        <v>10</v>
      </c>
      <c r="I2" s="86" t="s">
        <v>11</v>
      </c>
      <c r="J2" s="86" t="s">
        <v>12</v>
      </c>
      <c r="K2" s="86" t="s">
        <v>44</v>
      </c>
      <c r="L2" s="87" t="s">
        <v>15</v>
      </c>
      <c r="M2" s="85" t="s">
        <v>14</v>
      </c>
      <c r="N2" s="88" t="s">
        <v>59</v>
      </c>
      <c r="O2" s="89" t="s">
        <v>13</v>
      </c>
      <c r="P2" s="89" t="s">
        <v>22</v>
      </c>
      <c r="Q2" s="89" t="s">
        <v>74</v>
      </c>
      <c r="R2" s="89" t="s">
        <v>2</v>
      </c>
      <c r="S2" s="89" t="s">
        <v>29</v>
      </c>
      <c r="T2" s="89" t="s">
        <v>28</v>
      </c>
      <c r="U2" s="90" t="s">
        <v>17</v>
      </c>
      <c r="V2" s="90" t="s">
        <v>18</v>
      </c>
      <c r="W2" s="90" t="s">
        <v>19</v>
      </c>
      <c r="X2" s="90" t="s">
        <v>20</v>
      </c>
      <c r="Y2" s="90" t="s">
        <v>21</v>
      </c>
      <c r="Z2" s="90" t="s">
        <v>45</v>
      </c>
      <c r="AA2" s="91" t="s">
        <v>23</v>
      </c>
      <c r="AB2" s="91" t="s">
        <v>24</v>
      </c>
      <c r="AC2" s="91" t="s">
        <v>25</v>
      </c>
      <c r="AD2" s="91" t="s">
        <v>26</v>
      </c>
      <c r="AE2" s="91" t="s">
        <v>27</v>
      </c>
      <c r="AF2" s="91" t="s">
        <v>46</v>
      </c>
      <c r="AG2" s="92" t="s">
        <v>16</v>
      </c>
      <c r="AH2" s="93" t="s">
        <v>62</v>
      </c>
      <c r="AI2" s="94" t="s">
        <v>30</v>
      </c>
      <c r="AJ2" s="95" t="s">
        <v>31</v>
      </c>
      <c r="AK2" s="89" t="s">
        <v>60</v>
      </c>
      <c r="AL2" s="96" t="s">
        <v>50</v>
      </c>
      <c r="AM2" s="97" t="s">
        <v>52</v>
      </c>
      <c r="AN2" s="98" t="s">
        <v>51</v>
      </c>
      <c r="AO2" s="78" t="s">
        <v>43</v>
      </c>
      <c r="AP2" s="79" t="s">
        <v>49</v>
      </c>
      <c r="AQ2" s="79" t="s">
        <v>33</v>
      </c>
      <c r="AR2" s="79" t="s">
        <v>32</v>
      </c>
      <c r="AS2" s="80" t="s">
        <v>34</v>
      </c>
      <c r="AT2" s="80" t="s">
        <v>35</v>
      </c>
      <c r="AU2" s="80" t="s">
        <v>38</v>
      </c>
      <c r="AV2" s="81" t="s">
        <v>65</v>
      </c>
      <c r="AW2" s="81" t="s">
        <v>36</v>
      </c>
      <c r="AX2" s="81" t="s">
        <v>37</v>
      </c>
      <c r="AY2" s="82" t="s">
        <v>39</v>
      </c>
      <c r="AZ2" s="83" t="s">
        <v>40</v>
      </c>
      <c r="BA2" s="83" t="s">
        <v>41</v>
      </c>
      <c r="BB2" s="83" t="s">
        <v>42</v>
      </c>
      <c r="BC2" s="84" t="s">
        <v>47</v>
      </c>
      <c r="BD2" s="84" t="s">
        <v>48</v>
      </c>
      <c r="BE2" s="77" t="s">
        <v>6</v>
      </c>
      <c r="BF2" s="77" t="s">
        <v>7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74" t="s">
        <v>58</v>
      </c>
      <c r="C3" s="25" t="s">
        <v>75</v>
      </c>
      <c r="D3" s="25">
        <v>40100</v>
      </c>
      <c r="E3" s="25" t="s">
        <v>76</v>
      </c>
      <c r="F3" s="7" t="s">
        <v>77</v>
      </c>
      <c r="G3" s="7" t="s">
        <v>78</v>
      </c>
      <c r="H3" s="7" t="s">
        <v>77</v>
      </c>
      <c r="I3" s="8"/>
      <c r="J3" s="8"/>
      <c r="K3" s="8"/>
      <c r="L3" s="25" t="s">
        <v>79</v>
      </c>
      <c r="M3" s="19" t="s">
        <v>80</v>
      </c>
      <c r="N3" s="25" t="s">
        <v>81</v>
      </c>
      <c r="O3" s="25" t="s">
        <v>54</v>
      </c>
      <c r="P3" s="25" t="s">
        <v>54</v>
      </c>
      <c r="Q3" s="25"/>
      <c r="R3" s="25"/>
      <c r="S3" s="25" t="s">
        <v>82</v>
      </c>
      <c r="T3" s="22" t="s">
        <v>53</v>
      </c>
      <c r="U3" s="27">
        <v>0.28999999999999998</v>
      </c>
      <c r="V3" s="27">
        <v>0.42</v>
      </c>
      <c r="W3" s="27">
        <v>0.28999999999999998</v>
      </c>
      <c r="X3" s="27"/>
      <c r="Y3" s="27"/>
      <c r="Z3" s="27"/>
      <c r="AA3" s="45"/>
      <c r="AB3" s="45"/>
      <c r="AC3" s="45"/>
      <c r="AD3" s="45"/>
      <c r="AE3" s="45"/>
      <c r="AF3" s="45"/>
      <c r="AG3" s="20">
        <v>300</v>
      </c>
      <c r="AH3" s="21">
        <v>1.37</v>
      </c>
      <c r="AI3" s="71">
        <v>0.32880000000000004</v>
      </c>
      <c r="AJ3" s="63">
        <f>((U3*AA3)+(V3*AB3)+(W3*AC3)+(X3*AD3)+(Y3*AE3)+(Z3*AF3))/0.95+AI3</f>
        <v>0.32880000000000004</v>
      </c>
      <c r="AK3" s="18" t="s">
        <v>83</v>
      </c>
      <c r="AL3" s="23" t="s">
        <v>84</v>
      </c>
      <c r="AM3" s="62">
        <f>(AJ3+AN3)/0.88</f>
        <v>2.419090909090909</v>
      </c>
      <c r="AN3" s="59">
        <v>1.8</v>
      </c>
      <c r="AO3" s="30"/>
      <c r="AP3" s="31">
        <v>1</v>
      </c>
      <c r="AQ3" s="31"/>
      <c r="AR3" s="31"/>
      <c r="AS3" s="32"/>
      <c r="AT3" s="32"/>
      <c r="AU3" s="32"/>
      <c r="AV3" s="33">
        <v>1</v>
      </c>
      <c r="AW3" s="33"/>
      <c r="AX3" s="33"/>
      <c r="AY3" s="34">
        <v>1</v>
      </c>
      <c r="AZ3" s="35">
        <v>1</v>
      </c>
      <c r="BA3" s="35"/>
      <c r="BB3" s="35">
        <v>1</v>
      </c>
      <c r="BC3" s="36"/>
      <c r="BD3" s="36"/>
      <c r="BE3" s="24"/>
      <c r="BF3" s="24"/>
      <c r="BG3" s="24"/>
      <c r="BH3" s="24"/>
      <c r="BI3" s="17"/>
      <c r="BJ3" s="6" t="s">
        <v>56</v>
      </c>
    </row>
    <row r="4" spans="2:84" s="6" customFormat="1" ht="24.95" customHeight="1" x14ac:dyDescent="0.25">
      <c r="B4" s="25"/>
      <c r="C4" s="25"/>
      <c r="D4" s="25">
        <v>80201</v>
      </c>
      <c r="E4" s="25"/>
      <c r="F4" s="7"/>
      <c r="G4" s="7"/>
      <c r="H4" s="7"/>
      <c r="I4" s="8"/>
      <c r="J4" s="8"/>
      <c r="K4" s="8"/>
      <c r="L4" s="25"/>
      <c r="M4" s="19"/>
      <c r="N4" s="25" t="s">
        <v>86</v>
      </c>
      <c r="O4" s="25"/>
      <c r="P4" s="25"/>
      <c r="Q4" s="25"/>
      <c r="R4" s="25"/>
      <c r="S4" s="25"/>
      <c r="T4" s="22"/>
      <c r="U4" s="27"/>
      <c r="V4" s="27"/>
      <c r="W4" s="27"/>
      <c r="X4" s="27"/>
      <c r="Y4" s="27"/>
      <c r="Z4" s="27"/>
      <c r="AA4" s="45"/>
      <c r="AB4" s="45"/>
      <c r="AC4" s="45"/>
      <c r="AD4" s="45"/>
      <c r="AE4" s="45"/>
      <c r="AF4" s="45"/>
      <c r="AG4" s="20"/>
      <c r="AH4" s="21"/>
      <c r="AI4" s="71">
        <v>0</v>
      </c>
      <c r="AJ4" s="63">
        <f t="shared" ref="AJ4:AJ7" si="0">((U4*AA4)+(V4*AB4)+(W4*AC4)+(X4*AD4)+(Y4*AE4)+(Z4*AF4))/0.95+AI4</f>
        <v>0</v>
      </c>
      <c r="AK4" s="18"/>
      <c r="AL4" s="23"/>
      <c r="AM4" s="62">
        <f t="shared" ref="AM4:AM7" si="1">(AJ4+AN4)/0.88</f>
        <v>0</v>
      </c>
      <c r="AN4" s="59">
        <v>0</v>
      </c>
      <c r="AO4" s="30"/>
      <c r="AP4" s="31"/>
      <c r="AQ4" s="31"/>
      <c r="AR4" s="31"/>
      <c r="AS4" s="32"/>
      <c r="AT4" s="32"/>
      <c r="AU4" s="32"/>
      <c r="AV4" s="33"/>
      <c r="AW4" s="33"/>
      <c r="AX4" s="33"/>
      <c r="AY4" s="34"/>
      <c r="AZ4" s="35"/>
      <c r="BA4" s="35"/>
      <c r="BB4" s="35"/>
      <c r="BC4" s="36"/>
      <c r="BD4" s="36"/>
      <c r="BE4" s="24"/>
      <c r="BF4" s="24"/>
      <c r="BG4" s="24"/>
      <c r="BH4" s="24"/>
      <c r="BI4" s="17"/>
      <c r="BJ4" s="6" t="s">
        <v>56</v>
      </c>
    </row>
    <row r="5" spans="2:84" s="6" customFormat="1" ht="24.95" customHeight="1" x14ac:dyDescent="0.25">
      <c r="B5" s="25"/>
      <c r="C5" s="25"/>
      <c r="D5" s="25">
        <v>80202</v>
      </c>
      <c r="E5" s="25"/>
      <c r="F5" s="7"/>
      <c r="G5" s="7"/>
      <c r="H5" s="7"/>
      <c r="I5" s="8"/>
      <c r="J5" s="8"/>
      <c r="K5" s="8"/>
      <c r="L5" s="25"/>
      <c r="M5" s="19"/>
      <c r="N5" s="25" t="s">
        <v>87</v>
      </c>
      <c r="O5" s="25"/>
      <c r="P5" s="25"/>
      <c r="Q5" s="25"/>
      <c r="R5" s="25"/>
      <c r="S5" s="25"/>
      <c r="T5" s="22"/>
      <c r="U5" s="27"/>
      <c r="V5" s="27"/>
      <c r="W5" s="27"/>
      <c r="X5" s="27"/>
      <c r="Y5" s="27"/>
      <c r="Z5" s="27"/>
      <c r="AA5" s="45"/>
      <c r="AB5" s="45"/>
      <c r="AC5" s="45"/>
      <c r="AD5" s="45"/>
      <c r="AE5" s="45"/>
      <c r="AF5" s="45"/>
      <c r="AG5" s="20"/>
      <c r="AH5" s="21"/>
      <c r="AI5" s="71">
        <v>0</v>
      </c>
      <c r="AJ5" s="63">
        <f t="shared" si="0"/>
        <v>0</v>
      </c>
      <c r="AK5" s="18"/>
      <c r="AL5" s="23"/>
      <c r="AM5" s="62">
        <f t="shared" si="1"/>
        <v>0</v>
      </c>
      <c r="AN5" s="59">
        <v>0</v>
      </c>
      <c r="AO5" s="30"/>
      <c r="AP5" s="31"/>
      <c r="AQ5" s="31"/>
      <c r="AR5" s="31"/>
      <c r="AS5" s="32"/>
      <c r="AT5" s="32"/>
      <c r="AU5" s="32"/>
      <c r="AV5" s="33"/>
      <c r="AW5" s="33"/>
      <c r="AX5" s="33"/>
      <c r="AY5" s="34"/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56</v>
      </c>
    </row>
    <row r="6" spans="2:84" s="6" customFormat="1" ht="24.95" customHeight="1" x14ac:dyDescent="0.25">
      <c r="B6" s="25"/>
      <c r="C6" s="25"/>
      <c r="D6" s="25">
        <v>80203</v>
      </c>
      <c r="E6" s="25"/>
      <c r="F6" s="8"/>
      <c r="G6" s="8"/>
      <c r="H6" s="8"/>
      <c r="I6" s="8"/>
      <c r="J6" s="8"/>
      <c r="K6" s="8"/>
      <c r="L6" s="25"/>
      <c r="M6" s="19"/>
      <c r="N6" s="25" t="s">
        <v>88</v>
      </c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0</v>
      </c>
      <c r="AN6" s="59">
        <v>0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56</v>
      </c>
    </row>
    <row r="7" spans="2:84" ht="24.95" customHeight="1" x14ac:dyDescent="0.25">
      <c r="B7" s="74" t="s">
        <v>58</v>
      </c>
      <c r="C7" s="25" t="s">
        <v>66</v>
      </c>
      <c r="D7" s="25">
        <v>40104</v>
      </c>
      <c r="E7" s="25" t="s">
        <v>85</v>
      </c>
      <c r="F7" s="7" t="s">
        <v>55</v>
      </c>
      <c r="G7" s="8"/>
      <c r="H7" s="8"/>
      <c r="I7" s="8"/>
      <c r="J7" s="8"/>
      <c r="K7" s="8"/>
      <c r="L7" s="25" t="s">
        <v>70</v>
      </c>
      <c r="M7" s="19" t="s">
        <v>67</v>
      </c>
      <c r="N7" s="25" t="s">
        <v>68</v>
      </c>
      <c r="O7" s="25" t="s">
        <v>54</v>
      </c>
      <c r="P7" s="25" t="s">
        <v>54</v>
      </c>
      <c r="Q7" s="25"/>
      <c r="R7" s="25"/>
      <c r="S7" s="25" t="s">
        <v>69</v>
      </c>
      <c r="T7" s="22" t="s">
        <v>53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0.16799999999999998</v>
      </c>
      <c r="AJ7" s="63">
        <f t="shared" si="0"/>
        <v>0.16799999999999998</v>
      </c>
      <c r="AK7" s="18" t="s">
        <v>71</v>
      </c>
      <c r="AL7" s="23" t="s">
        <v>72</v>
      </c>
      <c r="AM7" s="62">
        <f t="shared" si="1"/>
        <v>2.2363636363636363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73</v>
      </c>
    </row>
    <row r="8" spans="2:84" ht="24.95" customHeight="1" x14ac:dyDescent="0.25">
      <c r="B8" s="25"/>
      <c r="C8" s="25"/>
      <c r="D8" s="25">
        <v>80204</v>
      </c>
      <c r="E8" s="25"/>
      <c r="F8" s="8"/>
      <c r="G8" s="8"/>
      <c r="H8" s="8"/>
      <c r="I8" s="8"/>
      <c r="J8" s="8"/>
      <c r="K8" s="8"/>
      <c r="L8" s="25"/>
      <c r="M8" s="19"/>
      <c r="N8" s="25" t="s">
        <v>89</v>
      </c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ref="AJ8:AJ10" si="2">((U8*AA8)+(V8*AB8)+(W8*AC8)+(X8*AD8)+(Y8*AE8)+(Z8*AF8))/0.95+AI8</f>
        <v>0</v>
      </c>
      <c r="AK8" s="42">
        <v>0</v>
      </c>
      <c r="AL8" s="26"/>
      <c r="AM8" s="62">
        <f t="shared" ref="AM8:AM10" si="3">(AJ8+AN8)/0.88</f>
        <v>0</v>
      </c>
      <c r="AN8" s="63">
        <v>0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>
        <v>80205</v>
      </c>
      <c r="E9" s="25"/>
      <c r="F9" s="8"/>
      <c r="G9" s="8"/>
      <c r="H9" s="8"/>
      <c r="I9" s="8"/>
      <c r="J9" s="8"/>
      <c r="K9" s="8"/>
      <c r="L9" s="25"/>
      <c r="M9" s="19"/>
      <c r="N9" s="25" t="s">
        <v>90</v>
      </c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/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/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0.32880000000000004</v>
      </c>
      <c r="AJ11" s="63">
        <f t="shared" ref="AJ11:AJ16" si="4">((U11*AA11)+(V11*AB11)+(W11*AC11)+(X11*AD11)+(Y11*AE11)+(Z11*AF11))/0.95+AI11</f>
        <v>0.32880000000000004</v>
      </c>
      <c r="AK11" s="42">
        <v>0</v>
      </c>
      <c r="AL11" s="26"/>
      <c r="AM11" s="62">
        <f t="shared" ref="AM11:AM18" si="5">(AJ11+AN11)/0.88</f>
        <v>0.37363636363636366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/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0.32880000000000004</v>
      </c>
      <c r="AJ12" s="63">
        <f t="shared" si="4"/>
        <v>0.32880000000000004</v>
      </c>
      <c r="AK12" s="42">
        <v>0</v>
      </c>
      <c r="AL12" s="26"/>
      <c r="AM12" s="62">
        <f t="shared" si="5"/>
        <v>0.37363636363636366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/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0.32880000000000004</v>
      </c>
      <c r="AJ13" s="63">
        <f t="shared" si="4"/>
        <v>0.32880000000000004</v>
      </c>
      <c r="AK13" s="42">
        <v>0</v>
      </c>
      <c r="AL13" s="26"/>
      <c r="AM13" s="62">
        <f t="shared" si="5"/>
        <v>0.37363636363636366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/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0.32880000000000004</v>
      </c>
      <c r="AJ14" s="63">
        <f t="shared" si="4"/>
        <v>0.32880000000000004</v>
      </c>
      <c r="AK14" s="42">
        <v>0</v>
      </c>
      <c r="AL14" s="26"/>
      <c r="AM14" s="62">
        <f t="shared" si="5"/>
        <v>0.37363636363636366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/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0.32880000000000004</v>
      </c>
      <c r="AJ15" s="63">
        <f t="shared" si="4"/>
        <v>0.32880000000000004</v>
      </c>
      <c r="AK15" s="42">
        <v>0</v>
      </c>
      <c r="AL15" s="26"/>
      <c r="AM15" s="62">
        <f t="shared" si="5"/>
        <v>0.37363636363636366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/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0.32880000000000004</v>
      </c>
      <c r="AJ16" s="63">
        <f t="shared" si="4"/>
        <v>0.32880000000000004</v>
      </c>
      <c r="AK16" s="42">
        <v>0</v>
      </c>
      <c r="AL16" s="26"/>
      <c r="AM16" s="62">
        <f t="shared" si="5"/>
        <v>0.37363636363636366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/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/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/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/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57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O8:AU16 AY8:AY16 AV8:AX26 AZ8:BB15 BC8:BD16">
    <cfRule type="cellIs" dxfId="11" priority="42" operator="equal">
      <formula>1</formula>
    </cfRule>
  </conditionalFormatting>
  <conditionalFormatting sqref="AZ16:BA16">
    <cfRule type="cellIs" dxfId="10" priority="34" operator="equal">
      <formula>1</formula>
    </cfRule>
  </conditionalFormatting>
  <conditionalFormatting sqref="AP4:AR6 AR3 AO7:BD7">
    <cfRule type="cellIs" dxfId="9" priority="10" operator="equal">
      <formula>1</formula>
    </cfRule>
  </conditionalFormatting>
  <conditionalFormatting sqref="AP3:AQ3">
    <cfRule type="cellIs" dxfId="8" priority="9" operator="equal">
      <formula>1</formula>
    </cfRule>
  </conditionalFormatting>
  <conditionalFormatting sqref="AO3">
    <cfRule type="cellIs" dxfId="7" priority="8" operator="equal">
      <formula>1</formula>
    </cfRule>
  </conditionalFormatting>
  <conditionalFormatting sqref="AO4:AO6">
    <cfRule type="cellIs" dxfId="6" priority="7" operator="equal">
      <formula>1</formula>
    </cfRule>
  </conditionalFormatting>
  <conditionalFormatting sqref="AS3:AU6">
    <cfRule type="cellIs" dxfId="5" priority="6" operator="equal">
      <formula>1</formula>
    </cfRule>
  </conditionalFormatting>
  <conditionalFormatting sqref="AV3:AX6">
    <cfRule type="cellIs" dxfId="4" priority="5" operator="equal">
      <formula>1</formula>
    </cfRule>
  </conditionalFormatting>
  <conditionalFormatting sqref="AY3">
    <cfRule type="cellIs" dxfId="3" priority="4" operator="equal">
      <formula>1</formula>
    </cfRule>
  </conditionalFormatting>
  <conditionalFormatting sqref="AY4:AY6">
    <cfRule type="cellIs" dxfId="2" priority="3" operator="equal">
      <formula>1</formula>
    </cfRule>
  </conditionalFormatting>
  <conditionalFormatting sqref="AZ3:BB6">
    <cfRule type="cellIs" dxfId="1" priority="2" operator="equal">
      <formula>1</formula>
    </cfRule>
  </conditionalFormatting>
  <conditionalFormatting sqref="BC3:BD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2026-06-24T13:49:40Z</dcterms:modified>
</cp:coreProperties>
</file>