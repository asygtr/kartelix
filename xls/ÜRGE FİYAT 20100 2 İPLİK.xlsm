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BE5AA241-C3BF-4BBC-852E-08B564E140F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7" i="1"/>
  <c r="AJ4" i="1" l="1"/>
  <c r="AJ5" i="1"/>
  <c r="AJ6" i="1"/>
  <c r="AM17" i="1" l="1"/>
  <c r="AM18" i="1"/>
  <c r="AM4" i="1" l="1"/>
  <c r="AM5" i="1"/>
  <c r="AM6" i="1"/>
  <c r="AM7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H1" authorId="0" shapeId="0" xr:uid="{320388F5-D443-4C19-9347-D19B4D836AA2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17 TL</t>
        </r>
      </text>
    </commen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2FA39FDC-FFD0-4897-94C2-6A2DD20A5F4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DB7A485B-EA3D-45A3-9AD9-35B742F6235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4A58F2D3-3F9B-49CB-8F7D-AB65DE576CB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<sst xmlns="http://schemas.openxmlformats.org/spreadsheetml/2006/main" count="261" uniqueCount="133">
  <si>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</si>
  <si>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</si>
  <si>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</si>
  <si>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</si>
  <si>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</si>
  <si>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</si>
  <si>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</si>
  <si>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</si>
  <si>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</si>
  <si>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</si>
  <si>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</si>
  <si>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</si>
  <si>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</si>
  <si>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</si>
  <si>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</si>
  <si>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</si>
  <si>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</si>
  <si>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</si>
  <si>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</si>
  <si>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</si>
  <si>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</si>
  <si>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</si>
  <si>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</si>
  <si>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</si>
  <si>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</si>
  <si>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</si>
  <si>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</si>
  <si>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</si>
  <si>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</si>
  <si>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</si>
  <si>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</si>
  <si>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</si>
  <si>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</si>
  <si>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</si>
  <si>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</si>
  <si>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</si>
  <si>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</si>
  <si>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</si>
  <si>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</si>
  <si>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</si>
  <si>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</si>
  <si>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</si>
  <si>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</si>
  <si>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</si>
  <si>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</si>
  <si>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</si>
  <si>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</si>
  <si>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</si>
  <si>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</si>
  <si>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</si>
  <si>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</si>
  <si>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</si>
  <si>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</si>
  <si>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</si>
  <si>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</si>
  <si>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</si>
  <si>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</si>
  <si>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</si>
  <si>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</si>
  <si>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</si>
  <si>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</si>
  <si>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SİPARİŞ</t>
  </si>
  <si>
    <t>STANDART
TUŞE</t>
  </si>
  <si>
    <t>1031.53.1</t>
  </si>
  <si>
    <t>25D00LC0473 LACİVERT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</si>
  <si>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</si>
  <si>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</si>
  <si>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</si>
  <si>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</si>
  <si>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</si>
  <si>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</si>
  <si>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</si>
  <si>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</si>
  <si>
    <t>SANTEKS</t>
  </si>
  <si>
    <t>NAVY BLUE</t>
  </si>
  <si>
    <t>28/1</t>
  </si>
  <si>
    <t>150</t>
  </si>
  <si>
    <t>40</t>
  </si>
  <si>
    <t>29,5/11/11</t>
  </si>
  <si>
    <t>28/1 PENYE+150 DEN POLYESTER+40 DEN ELASTAN</t>
  </si>
  <si>
    <t>32/28</t>
  </si>
  <si>
    <t>-2</t>
  </si>
  <si>
    <t>-1</t>
  </si>
  <si>
    <t xml:space="preserve"> ÇEKMEZLİK
 BOY
(-%5)</t>
  </si>
  <si>
    <t>ÇEKMEZLİK 
EN
(-%5)</t>
  </si>
  <si>
    <t>ÖN FİKSE:BYM:ÇBYM:ENZİM:RAM:AEN SANFOR:ŞRD:TRŞ:FRÇ:ÇİFT ŞRD:ÇİFT FRÇ</t>
  </si>
  <si>
    <t>ÖN FİKSE+ÇBYM+ENZİM+RAM+K.SANFOR</t>
  </si>
  <si>
    <t xml:space="preserve">FRENCH TERRY </t>
  </si>
  <si>
    <t>MEGİ TEKSTİL</t>
  </si>
  <si>
    <t>2025.8387.1.1</t>
  </si>
  <si>
    <t>2026.1151.4.2</t>
  </si>
  <si>
    <t>KHAKI</t>
  </si>
  <si>
    <t>30</t>
  </si>
  <si>
    <t>31/11/11</t>
  </si>
  <si>
    <t>30/1 PENYE+30/1 PENYE+30 DEN ELASTAN</t>
  </si>
  <si>
    <t>ÖN FİKSE+BYM+ENZİM+RAM+K.SANFOR</t>
  </si>
  <si>
    <t>73% Cotton %21 Polyester %6 Elastan</t>
  </si>
  <si>
    <t>96% Cotton %4 Elastan</t>
  </si>
  <si>
    <t>-3</t>
  </si>
  <si>
    <t>-5</t>
  </si>
  <si>
    <t>2025.9138.9.2</t>
  </si>
  <si>
    <t>CARIBOU</t>
  </si>
  <si>
    <t>İSKUR</t>
  </si>
  <si>
    <t>30/1 PENYE+150 DEN POLYESTER+40 DEN ELASTAN</t>
  </si>
  <si>
    <t>+1</t>
  </si>
  <si>
    <t xml:space="preserve">YAZARLAR </t>
  </si>
  <si>
    <t>2025.9632.9.1</t>
  </si>
  <si>
    <t>SAX</t>
  </si>
  <si>
    <t>BAYHANLAR</t>
  </si>
  <si>
    <t>2025-9559.12.1</t>
  </si>
  <si>
    <t>2025-9538.19.1</t>
  </si>
  <si>
    <t>RED</t>
  </si>
  <si>
    <t xml:space="preserve">30/PENYE+30/1 KARDE+30 DEN ELASTAN </t>
  </si>
  <si>
    <t>2025.9559.7.1</t>
  </si>
  <si>
    <t>BEIGE</t>
  </si>
  <si>
    <t>2026.1151.6.1</t>
  </si>
  <si>
    <t>BLUE</t>
  </si>
  <si>
    <t>30,5/11/11</t>
  </si>
  <si>
    <t>CANDY PINK</t>
  </si>
  <si>
    <t>2026.1038.7.1</t>
  </si>
  <si>
    <t>33/1</t>
  </si>
  <si>
    <t>31/10,5/10,5</t>
  </si>
  <si>
    <t xml:space="preserve">33/1PENEYE+150DEN POLYESTER+30DEN ELASTAN </t>
  </si>
  <si>
    <t>2026.11.51.13.1</t>
  </si>
  <si>
    <t>GREY</t>
  </si>
  <si>
    <t xml:space="preserve">30/1 PENYE+30/1 KARDE+30DEN ELASTAN </t>
  </si>
  <si>
    <t xml:space="preserve">POWDER PINK </t>
  </si>
  <si>
    <t>2025.9643.22.1</t>
  </si>
  <si>
    <t>ÖREN</t>
  </si>
  <si>
    <t>2026.2188.1.1</t>
  </si>
  <si>
    <t>30/10,5/11,5</t>
  </si>
  <si>
    <t xml:space="preserve">30/1 PENYE+150 DİYAGONEL+40DEN ELASTAN </t>
  </si>
  <si>
    <t>2025.9138.5.1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</si>
</sst>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  <xf numFmtId="9" fontId="2" fillId="4" borderId="12" xfId="0" applyNumberFormat="1" applyFont="1" applyFill="1" applyBorder="1" applyAlignment="1">
      <alignment horizontal="left" vertical="center"/>
    </xf>
    <xf numFmtId="10" fontId="4" fillId="4" borderId="1" xfId="0" applyNumberFormat="1" applyFont="1" applyFill="1" applyBorder="1"/>
    <xf numFmtId="164" fontId="4" fillId="4" borderId="1" xfId="0" applyNumberFormat="1" applyFont="1" applyFill="1" applyBorder="1"/>
    <xf numFmtId="0" fontId="20" fillId="0" borderId="1" xfId="0" applyFont="1" applyBorder="1"/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B1" zoomScale="110" zoomScaleNormal="110" workbookViewId="0">
      <pane ySplit="2" topLeftCell="A6" activePane="bottomLeft" state="frozen"/>
      <selection pane="bottomLeft" activeCell="E20" sqref="E20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85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61</v>
      </c>
      <c r="C2" s="85" t="s">
        <v>1</v>
      </c>
      <c r="D2" s="85" t="s">
        <v>0</v>
      </c>
      <c r="E2" s="85" t="s">
        <v>59</v>
      </c>
      <c r="F2" s="86" t="s">
        <v>6</v>
      </c>
      <c r="G2" s="86" t="s">
        <v>7</v>
      </c>
      <c r="H2" s="86" t="s">
        <v>8</v>
      </c>
      <c r="I2" s="86" t="s">
        <v>9</v>
      </c>
      <c r="J2" s="86" t="s">
        <v>10</v>
      </c>
      <c r="K2" s="86" t="s">
        <v>42</v>
      </c>
      <c r="L2" s="87" t="s">
        <v>13</v>
      </c>
      <c r="M2" s="85" t="s">
        <v>12</v>
      </c>
      <c r="N2" s="88" t="s">
        <v>57</v>
      </c>
      <c r="O2" s="89" t="s">
        <v>11</v>
      </c>
      <c r="P2" s="89" t="s">
        <v>20</v>
      </c>
      <c r="Q2" s="89" t="s">
        <v>72</v>
      </c>
      <c r="R2" s="89" t="s">
        <v>2</v>
      </c>
      <c r="S2" s="89" t="s">
        <v>27</v>
      </c>
      <c r="T2" s="89" t="s">
        <v>26</v>
      </c>
      <c r="U2" s="90" t="s">
        <v>15</v>
      </c>
      <c r="V2" s="90" t="s">
        <v>16</v>
      </c>
      <c r="W2" s="90" t="s">
        <v>17</v>
      </c>
      <c r="X2" s="90" t="s">
        <v>18</v>
      </c>
      <c r="Y2" s="90" t="s">
        <v>19</v>
      </c>
      <c r="Z2" s="90" t="s">
        <v>43</v>
      </c>
      <c r="AA2" s="91" t="s">
        <v>21</v>
      </c>
      <c r="AB2" s="91" t="s">
        <v>22</v>
      </c>
      <c r="AC2" s="91" t="s">
        <v>23</v>
      </c>
      <c r="AD2" s="91" t="s">
        <v>24</v>
      </c>
      <c r="AE2" s="91" t="s">
        <v>25</v>
      </c>
      <c r="AF2" s="91" t="s">
        <v>44</v>
      </c>
      <c r="AG2" s="92" t="s">
        <v>14</v>
      </c>
      <c r="AH2" s="93" t="s">
        <v>60</v>
      </c>
      <c r="AI2" s="94" t="s">
        <v>28</v>
      </c>
      <c r="AJ2" s="95" t="s">
        <v>29</v>
      </c>
      <c r="AK2" s="89" t="s">
        <v>58</v>
      </c>
      <c r="AL2" s="96" t="s">
        <v>48</v>
      </c>
      <c r="AM2" s="97" t="s">
        <v>50</v>
      </c>
      <c r="AN2" s="98" t="s">
        <v>49</v>
      </c>
      <c r="AO2" s="78" t="s">
        <v>41</v>
      </c>
      <c r="AP2" s="79" t="s">
        <v>47</v>
      </c>
      <c r="AQ2" s="79" t="s">
        <v>31</v>
      </c>
      <c r="AR2" s="79" t="s">
        <v>30</v>
      </c>
      <c r="AS2" s="80" t="s">
        <v>32</v>
      </c>
      <c r="AT2" s="80" t="s">
        <v>33</v>
      </c>
      <c r="AU2" s="80" t="s">
        <v>36</v>
      </c>
      <c r="AV2" s="81" t="s">
        <v>62</v>
      </c>
      <c r="AW2" s="81" t="s">
        <v>34</v>
      </c>
      <c r="AX2" s="81" t="s">
        <v>35</v>
      </c>
      <c r="AY2" s="82" t="s">
        <v>37</v>
      </c>
      <c r="AZ2" s="83" t="s">
        <v>38</v>
      </c>
      <c r="BA2" s="83" t="s">
        <v>39</v>
      </c>
      <c r="BB2" s="83" t="s">
        <v>40</v>
      </c>
      <c r="BC2" s="84" t="s">
        <v>45</v>
      </c>
      <c r="BD2" s="84" t="s">
        <v>46</v>
      </c>
      <c r="BE2" s="77" t="s">
        <v>84</v>
      </c>
      <c r="BF2" s="77" t="s">
        <v>83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 t="s">
        <v>73</v>
      </c>
      <c r="C3" s="25" t="s">
        <v>90</v>
      </c>
      <c r="D3" s="25">
        <v>20100</v>
      </c>
      <c r="E3" s="25" t="s">
        <v>74</v>
      </c>
      <c r="F3" s="7" t="s">
        <v>75</v>
      </c>
      <c r="G3" s="7" t="s">
        <v>76</v>
      </c>
      <c r="H3" s="7" t="s">
        <v>77</v>
      </c>
      <c r="I3" s="8"/>
      <c r="J3" s="8"/>
      <c r="K3" s="8"/>
      <c r="L3" s="25" t="s">
        <v>78</v>
      </c>
      <c r="M3" s="19" t="s">
        <v>79</v>
      </c>
      <c r="N3" s="25" t="s">
        <v>87</v>
      </c>
      <c r="O3" s="25" t="s">
        <v>52</v>
      </c>
      <c r="P3" s="25" t="s">
        <v>52</v>
      </c>
      <c r="Q3" s="25">
        <v>235</v>
      </c>
      <c r="R3" s="25">
        <v>182</v>
      </c>
      <c r="S3" s="25" t="s">
        <v>80</v>
      </c>
      <c r="T3" s="22">
        <v>40</v>
      </c>
      <c r="U3" s="100">
        <v>0.73</v>
      </c>
      <c r="V3" s="100">
        <v>0.21</v>
      </c>
      <c r="W3" s="100">
        <v>0.06</v>
      </c>
      <c r="X3" s="27"/>
      <c r="Y3" s="27"/>
      <c r="Z3" s="27"/>
      <c r="AA3" s="101">
        <v>3.7</v>
      </c>
      <c r="AB3" s="101">
        <v>1.95</v>
      </c>
      <c r="AC3" s="101">
        <v>5</v>
      </c>
      <c r="AD3" s="45"/>
      <c r="AE3" s="45"/>
      <c r="AF3" s="45"/>
      <c r="AG3" s="20">
        <v>450</v>
      </c>
      <c r="AH3" s="21">
        <v>0.42020000000000002</v>
      </c>
      <c r="AI3" s="71">
        <v>0.42020000000000002</v>
      </c>
      <c r="AJ3" s="63">
        <f>((U3*AA3)+(V3*AB3)+(W3*AC3)+(X3*AD3)+(Y3*AE3)+(Z3*AF3))/0.95+AI3</f>
        <v>4.0102000000000002</v>
      </c>
      <c r="AK3" s="99" t="s">
        <v>96</v>
      </c>
      <c r="AL3" s="23" t="s">
        <v>86</v>
      </c>
      <c r="AM3" s="62">
        <f>(AJ3+AN3)/0.88</f>
        <v>6.7729545454545459</v>
      </c>
      <c r="AN3" s="59">
        <v>1.95</v>
      </c>
      <c r="AO3" s="30">
        <v>1</v>
      </c>
      <c r="AP3" s="31"/>
      <c r="AQ3" s="31">
        <v>1</v>
      </c>
      <c r="AR3" s="31"/>
      <c r="AS3" s="32">
        <v>1</v>
      </c>
      <c r="AT3" s="32"/>
      <c r="AU3" s="32"/>
      <c r="AV3" s="33">
        <v>1</v>
      </c>
      <c r="AW3" s="33"/>
      <c r="AX3" s="33"/>
      <c r="AY3" s="34">
        <v>1</v>
      </c>
      <c r="AZ3" s="35"/>
      <c r="BA3" s="35"/>
      <c r="BB3" s="35"/>
      <c r="BC3" s="36"/>
      <c r="BD3" s="36"/>
      <c r="BE3" s="24" t="s">
        <v>81</v>
      </c>
      <c r="BF3" s="24" t="s">
        <v>82</v>
      </c>
      <c r="BG3" s="24"/>
      <c r="BH3" s="24"/>
      <c r="BI3" s="17"/>
      <c r="BJ3" s="6" t="s">
        <v>54</v>
      </c>
    </row>
    <row r="4" spans="2:84" s="6" customFormat="1" ht="24.95" customHeight="1" x14ac:dyDescent="0.25">
      <c r="B4" s="25" t="s">
        <v>88</v>
      </c>
      <c r="C4" s="25" t="s">
        <v>89</v>
      </c>
      <c r="D4" s="25">
        <v>20101</v>
      </c>
      <c r="E4" s="25" t="s">
        <v>91</v>
      </c>
      <c r="F4" s="7" t="s">
        <v>53</v>
      </c>
      <c r="G4" s="7" t="s">
        <v>53</v>
      </c>
      <c r="H4" s="7" t="s">
        <v>92</v>
      </c>
      <c r="I4" s="8"/>
      <c r="J4" s="8"/>
      <c r="K4" s="8"/>
      <c r="L4" s="25" t="s">
        <v>93</v>
      </c>
      <c r="M4" s="19" t="s">
        <v>94</v>
      </c>
      <c r="N4" s="25" t="s">
        <v>87</v>
      </c>
      <c r="O4" s="25" t="s">
        <v>52</v>
      </c>
      <c r="P4" s="25" t="s">
        <v>52</v>
      </c>
      <c r="Q4" s="25">
        <v>245</v>
      </c>
      <c r="R4" s="25">
        <v>188</v>
      </c>
      <c r="S4" s="25" t="s">
        <v>80</v>
      </c>
      <c r="T4" s="22">
        <v>30</v>
      </c>
      <c r="U4" s="27">
        <v>0.71</v>
      </c>
      <c r="V4" s="27">
        <v>0.25</v>
      </c>
      <c r="W4" s="27">
        <v>0.04</v>
      </c>
      <c r="X4" s="27"/>
      <c r="Y4" s="27"/>
      <c r="Z4" s="27"/>
      <c r="AA4" s="101">
        <v>3.7</v>
      </c>
      <c r="AB4" s="101">
        <v>3.7</v>
      </c>
      <c r="AC4" s="101">
        <v>5</v>
      </c>
      <c r="AD4" s="45"/>
      <c r="AE4" s="45"/>
      <c r="AF4" s="45"/>
      <c r="AG4" s="20">
        <v>500</v>
      </c>
      <c r="AH4" s="21">
        <v>0.42020000000000002</v>
      </c>
      <c r="AI4" s="71">
        <v>0.42020000000000002</v>
      </c>
      <c r="AJ4" s="63">
        <f t="shared" ref="AJ4:AJ6" si="0">((U4*AA4)+(V4*AB4)+(W4*AC4)+(X4*AD4)+(Y4*AE4)+(Z4*AF4))/0.95+AI4</f>
        <v>4.3696736842105262</v>
      </c>
      <c r="AK4" s="99" t="s">
        <v>97</v>
      </c>
      <c r="AL4" s="23" t="s">
        <v>95</v>
      </c>
      <c r="AM4" s="62">
        <f t="shared" ref="AM4:AM6" si="1">(AJ4+AN4)/0.88</f>
        <v>6.9541746411483247</v>
      </c>
      <c r="AN4" s="59">
        <v>1.75</v>
      </c>
      <c r="AO4" s="30">
        <v>1</v>
      </c>
      <c r="AP4" s="31">
        <v>1</v>
      </c>
      <c r="AQ4" s="31"/>
      <c r="AR4" s="31"/>
      <c r="AS4" s="32">
        <v>1</v>
      </c>
      <c r="AT4" s="32"/>
      <c r="AU4" s="32"/>
      <c r="AV4" s="33">
        <v>1</v>
      </c>
      <c r="AW4" s="33"/>
      <c r="AX4" s="33"/>
      <c r="AY4" s="34">
        <v>1</v>
      </c>
      <c r="AZ4" s="35"/>
      <c r="BA4" s="35"/>
      <c r="BB4" s="35"/>
      <c r="BC4" s="36"/>
      <c r="BD4" s="36"/>
      <c r="BE4" s="24" t="s">
        <v>98</v>
      </c>
      <c r="BF4" s="24" t="s">
        <v>99</v>
      </c>
      <c r="BG4" s="24"/>
      <c r="BH4" s="24"/>
      <c r="BI4" s="17"/>
      <c r="BJ4" s="6" t="s">
        <v>54</v>
      </c>
    </row>
    <row r="5" spans="2:84" s="6" customFormat="1" ht="24.95" customHeight="1" x14ac:dyDescent="0.25">
      <c r="B5" s="25" t="s">
        <v>102</v>
      </c>
      <c r="C5" s="25" t="s">
        <v>100</v>
      </c>
      <c r="D5" s="25">
        <v>20102</v>
      </c>
      <c r="E5" s="25" t="s">
        <v>101</v>
      </c>
      <c r="F5" s="7" t="s">
        <v>53</v>
      </c>
      <c r="G5" s="7" t="s">
        <v>76</v>
      </c>
      <c r="H5" s="7" t="s">
        <v>77</v>
      </c>
      <c r="I5" s="8"/>
      <c r="J5" s="8"/>
      <c r="K5" s="8"/>
      <c r="L5" s="25" t="s">
        <v>78</v>
      </c>
      <c r="M5" s="19" t="s">
        <v>103</v>
      </c>
      <c r="N5" s="25" t="s">
        <v>87</v>
      </c>
      <c r="O5" s="25" t="s">
        <v>52</v>
      </c>
      <c r="P5" s="25" t="s">
        <v>52</v>
      </c>
      <c r="Q5" s="25">
        <v>235</v>
      </c>
      <c r="R5" s="25">
        <v>188</v>
      </c>
      <c r="S5" s="25" t="s">
        <v>80</v>
      </c>
      <c r="T5" s="22">
        <v>40</v>
      </c>
      <c r="U5" s="100">
        <v>0.73</v>
      </c>
      <c r="V5" s="100">
        <v>0.21</v>
      </c>
      <c r="W5" s="100">
        <v>0.06</v>
      </c>
      <c r="X5" s="27"/>
      <c r="Y5" s="27"/>
      <c r="Z5" s="27"/>
      <c r="AA5" s="101">
        <v>3.7</v>
      </c>
      <c r="AB5" s="101">
        <v>1.95</v>
      </c>
      <c r="AC5" s="101">
        <v>5</v>
      </c>
      <c r="AD5" s="45"/>
      <c r="AE5" s="45"/>
      <c r="AF5" s="45"/>
      <c r="AG5" s="20">
        <v>450</v>
      </c>
      <c r="AH5" s="21">
        <v>0.42020000000000002</v>
      </c>
      <c r="AI5" s="71">
        <v>0.42020000000000002</v>
      </c>
      <c r="AJ5" s="63">
        <f t="shared" si="0"/>
        <v>4.0102000000000002</v>
      </c>
      <c r="AK5" s="99" t="s">
        <v>96</v>
      </c>
      <c r="AL5" s="23" t="s">
        <v>86</v>
      </c>
      <c r="AM5" s="62">
        <f t="shared" si="1"/>
        <v>6.7729545454545459</v>
      </c>
      <c r="AN5" s="59">
        <v>1.95</v>
      </c>
      <c r="AO5" s="30">
        <v>1</v>
      </c>
      <c r="AP5" s="31"/>
      <c r="AQ5" s="31">
        <v>1</v>
      </c>
      <c r="AR5" s="31"/>
      <c r="AS5" s="32">
        <v>1</v>
      </c>
      <c r="AT5" s="32"/>
      <c r="AU5" s="32"/>
      <c r="AV5" s="33">
        <v>1</v>
      </c>
      <c r="AW5" s="33"/>
      <c r="AX5" s="33"/>
      <c r="AY5" s="34">
        <v>1</v>
      </c>
      <c r="AZ5" s="35"/>
      <c r="BA5" s="35"/>
      <c r="BB5" s="35"/>
      <c r="BC5" s="36"/>
      <c r="BD5" s="36"/>
      <c r="BE5" s="24" t="s">
        <v>104</v>
      </c>
      <c r="BF5" s="24" t="s">
        <v>99</v>
      </c>
      <c r="BG5" s="24"/>
      <c r="BH5" s="24"/>
      <c r="BI5" s="17"/>
      <c r="BJ5" s="6" t="s">
        <v>54</v>
      </c>
    </row>
    <row r="6" spans="2:84" s="6" customFormat="1" ht="24.95" customHeight="1" x14ac:dyDescent="0.25">
      <c r="B6" s="25"/>
      <c r="C6" s="25"/>
      <c r="D6" s="25">
        <v>20103</v>
      </c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0</v>
      </c>
      <c r="AN6" s="59">
        <v>0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54</v>
      </c>
    </row>
    <row r="7" spans="2:84" ht="24.95" customHeight="1" x14ac:dyDescent="0.25">
      <c r="B7" s="74" t="s">
        <v>56</v>
      </c>
      <c r="C7" s="25" t="s">
        <v>63</v>
      </c>
      <c r="D7" s="25">
        <v>20104</v>
      </c>
      <c r="E7" s="25" t="s">
        <v>64</v>
      </c>
      <c r="F7" s="7" t="s">
        <v>53</v>
      </c>
      <c r="G7" s="8"/>
      <c r="H7" s="8"/>
      <c r="I7" s="8"/>
      <c r="J7" s="8"/>
      <c r="K7" s="8"/>
      <c r="L7" s="25" t="s">
        <v>68</v>
      </c>
      <c r="M7" s="19" t="s">
        <v>65</v>
      </c>
      <c r="N7" s="25" t="s">
        <v>66</v>
      </c>
      <c r="O7" s="25" t="s">
        <v>52</v>
      </c>
      <c r="P7" s="25" t="s">
        <v>52</v>
      </c>
      <c r="Q7" s="25"/>
      <c r="R7" s="25"/>
      <c r="S7" s="25" t="s">
        <v>67</v>
      </c>
      <c r="T7" s="22" t="s">
        <v>51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0.7</v>
      </c>
      <c r="AJ7" s="63">
        <f t="shared" ref="AJ7:AJ10" si="2">((U7*AA7)+(V7*AB7)+(W7*AC7)+(X7*AD7)+(Y7*AE7)+(Z7*AF7))/0.95+AI7</f>
        <v>0.7</v>
      </c>
      <c r="AK7" s="18" t="s">
        <v>69</v>
      </c>
      <c r="AL7" s="23" t="s">
        <v>70</v>
      </c>
      <c r="AM7" s="62">
        <f t="shared" ref="AM7:AM10" si="3">(AJ7+AN7)/0.88</f>
        <v>2.8409090909090908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71</v>
      </c>
    </row>
    <row r="8" spans="2:84" ht="24.95" customHeight="1" x14ac:dyDescent="0.25">
      <c r="B8" s="25" t="s">
        <v>105</v>
      </c>
      <c r="C8" s="25" t="s">
        <v>106</v>
      </c>
      <c r="D8" s="25">
        <v>20105</v>
      </c>
      <c r="E8" s="25" t="s">
        <v>107</v>
      </c>
      <c r="F8" s="7" t="s">
        <v>53</v>
      </c>
      <c r="G8" s="7" t="s">
        <v>53</v>
      </c>
      <c r="H8" s="7" t="s">
        <v>92</v>
      </c>
      <c r="I8" s="8"/>
      <c r="J8" s="8"/>
      <c r="K8" s="8"/>
      <c r="L8" s="25" t="s">
        <v>93</v>
      </c>
      <c r="M8" s="19" t="s">
        <v>94</v>
      </c>
      <c r="N8" s="25" t="s">
        <v>87</v>
      </c>
      <c r="O8" s="25" t="s">
        <v>52</v>
      </c>
      <c r="P8" s="25" t="s">
        <v>52</v>
      </c>
      <c r="Q8" s="25">
        <v>235</v>
      </c>
      <c r="R8" s="25">
        <v>185</v>
      </c>
      <c r="S8" s="25" t="s">
        <v>80</v>
      </c>
      <c r="T8" s="25">
        <v>30</v>
      </c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si="2"/>
        <v>0</v>
      </c>
      <c r="AK8" s="99" t="s">
        <v>97</v>
      </c>
      <c r="AL8" s="23" t="s">
        <v>95</v>
      </c>
      <c r="AM8" s="62">
        <f t="shared" si="3"/>
        <v>1.9886363636363635</v>
      </c>
      <c r="AN8" s="63">
        <v>1.75</v>
      </c>
      <c r="AO8" s="30">
        <v>1</v>
      </c>
      <c r="AP8" s="31">
        <v>1</v>
      </c>
      <c r="AS8" s="32">
        <v>1</v>
      </c>
      <c r="AV8" s="33">
        <v>1</v>
      </c>
      <c r="AY8" s="34">
        <v>1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 t="s">
        <v>108</v>
      </c>
      <c r="C9" s="25" t="s">
        <v>109</v>
      </c>
      <c r="D9" s="25">
        <v>20106</v>
      </c>
      <c r="E9" s="25" t="s">
        <v>91</v>
      </c>
      <c r="F9" s="7" t="s">
        <v>75</v>
      </c>
      <c r="G9" s="7" t="s">
        <v>76</v>
      </c>
      <c r="H9" s="7" t="s">
        <v>77</v>
      </c>
      <c r="I9" s="8"/>
      <c r="J9" s="8"/>
      <c r="K9" s="8"/>
      <c r="L9" s="25" t="s">
        <v>78</v>
      </c>
      <c r="M9" s="19" t="s">
        <v>79</v>
      </c>
      <c r="N9" s="25" t="s">
        <v>87</v>
      </c>
      <c r="O9" s="25" t="s">
        <v>52</v>
      </c>
      <c r="P9" s="25" t="s">
        <v>52</v>
      </c>
      <c r="Q9" s="74"/>
      <c r="R9" s="74"/>
      <c r="S9" s="25" t="s">
        <v>80</v>
      </c>
      <c r="T9" s="25">
        <v>40</v>
      </c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99" t="s">
        <v>96</v>
      </c>
      <c r="AL9" s="23" t="s">
        <v>86</v>
      </c>
      <c r="AM9" s="62">
        <f t="shared" si="3"/>
        <v>1.9886363636363635</v>
      </c>
      <c r="AN9" s="63">
        <v>1.75</v>
      </c>
      <c r="AO9" s="30">
        <v>1</v>
      </c>
      <c r="AP9" s="31">
        <v>1</v>
      </c>
      <c r="AS9" s="32">
        <v>1</v>
      </c>
      <c r="AV9" s="33">
        <v>1</v>
      </c>
      <c r="AY9" s="34">
        <v>1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 t="s">
        <v>105</v>
      </c>
      <c r="C10" s="25" t="s">
        <v>110</v>
      </c>
      <c r="D10" s="25">
        <v>20107</v>
      </c>
      <c r="E10" s="25" t="s">
        <v>111</v>
      </c>
      <c r="F10" s="7" t="s">
        <v>53</v>
      </c>
      <c r="G10" s="7" t="s">
        <v>53</v>
      </c>
      <c r="H10" s="7" t="s">
        <v>92</v>
      </c>
      <c r="I10" s="8"/>
      <c r="J10" s="8"/>
      <c r="K10" s="8"/>
      <c r="L10" s="25" t="s">
        <v>93</v>
      </c>
      <c r="M10" s="19" t="s">
        <v>112</v>
      </c>
      <c r="N10" s="25" t="s">
        <v>87</v>
      </c>
      <c r="O10" s="25" t="s">
        <v>52</v>
      </c>
      <c r="P10" s="25" t="s">
        <v>52</v>
      </c>
      <c r="Q10" s="25">
        <v>245</v>
      </c>
      <c r="R10" s="25">
        <v>200</v>
      </c>
      <c r="S10" s="25" t="s">
        <v>80</v>
      </c>
      <c r="T10" s="25">
        <v>30</v>
      </c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99" t="s">
        <v>97</v>
      </c>
      <c r="AL10" s="23" t="s">
        <v>95</v>
      </c>
      <c r="AM10" s="62">
        <f t="shared" si="3"/>
        <v>1.9886363636363635</v>
      </c>
      <c r="AN10" s="63">
        <v>1.75</v>
      </c>
      <c r="AO10" s="30">
        <v>1</v>
      </c>
      <c r="AP10" s="31">
        <v>1</v>
      </c>
      <c r="AS10" s="32">
        <v>1</v>
      </c>
      <c r="AV10" s="33">
        <v>1</v>
      </c>
      <c r="AY10" s="34">
        <v>1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 t="s">
        <v>108</v>
      </c>
      <c r="C11" s="25" t="s">
        <v>113</v>
      </c>
      <c r="D11" s="25">
        <v>20108</v>
      </c>
      <c r="E11" s="25" t="s">
        <v>114</v>
      </c>
      <c r="F11" s="7" t="s">
        <v>75</v>
      </c>
      <c r="G11" s="7" t="s">
        <v>76</v>
      </c>
      <c r="H11" s="7" t="s">
        <v>77</v>
      </c>
      <c r="I11" s="8"/>
      <c r="J11" s="8"/>
      <c r="K11" s="8"/>
      <c r="L11" s="25" t="s">
        <v>78</v>
      </c>
      <c r="M11" s="19" t="s">
        <v>79</v>
      </c>
      <c r="N11" s="25" t="s">
        <v>87</v>
      </c>
      <c r="O11" s="25" t="s">
        <v>52</v>
      </c>
      <c r="P11" s="25" t="s">
        <v>52</v>
      </c>
      <c r="Q11" s="25">
        <v>240</v>
      </c>
      <c r="R11" s="25">
        <v>185</v>
      </c>
      <c r="S11" s="25" t="s">
        <v>80</v>
      </c>
      <c r="T11" s="25">
        <v>40</v>
      </c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1.37</v>
      </c>
      <c r="AJ11" s="63">
        <f t="shared" ref="AJ11:AJ16" si="4">((U11*AA11)+(V11*AB11)+(W11*AC11)+(X11*AD11)+(Y11*AE11)+(Z11*AF11))/0.95+AI11</f>
        <v>1.37</v>
      </c>
      <c r="AK11" s="99" t="s">
        <v>96</v>
      </c>
      <c r="AL11" s="23" t="s">
        <v>95</v>
      </c>
      <c r="AM11" s="62">
        <f t="shared" ref="AM11:AM18" si="5">(AJ11+AN11)/0.88</f>
        <v>3.5454545454545454</v>
      </c>
      <c r="AN11" s="63">
        <v>1.75</v>
      </c>
      <c r="AO11" s="30">
        <v>1</v>
      </c>
      <c r="AP11" s="31">
        <v>1</v>
      </c>
      <c r="AS11" s="32">
        <v>1</v>
      </c>
      <c r="AV11" s="33">
        <v>1</v>
      </c>
      <c r="AY11" s="34">
        <v>1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 t="s">
        <v>73</v>
      </c>
      <c r="C12" s="25" t="s">
        <v>115</v>
      </c>
      <c r="D12" s="25">
        <v>20109</v>
      </c>
      <c r="E12" s="25" t="s">
        <v>116</v>
      </c>
      <c r="F12" s="7" t="s">
        <v>75</v>
      </c>
      <c r="G12" s="7" t="s">
        <v>76</v>
      </c>
      <c r="H12" s="7" t="s">
        <v>77</v>
      </c>
      <c r="I12" s="8"/>
      <c r="J12" s="8"/>
      <c r="K12" s="8"/>
      <c r="L12" s="25" t="s">
        <v>117</v>
      </c>
      <c r="M12" s="19" t="s">
        <v>79</v>
      </c>
      <c r="N12" s="25" t="s">
        <v>87</v>
      </c>
      <c r="O12" s="25" t="s">
        <v>52</v>
      </c>
      <c r="P12" s="25" t="s">
        <v>52</v>
      </c>
      <c r="Q12" s="25">
        <v>240</v>
      </c>
      <c r="R12" s="25">
        <v>180</v>
      </c>
      <c r="S12" s="25" t="s">
        <v>80</v>
      </c>
      <c r="T12" s="25">
        <v>40</v>
      </c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1.37</v>
      </c>
      <c r="AJ12" s="63">
        <f t="shared" si="4"/>
        <v>1.37</v>
      </c>
      <c r="AK12" s="42">
        <v>0</v>
      </c>
      <c r="AL12" s="23" t="s">
        <v>95</v>
      </c>
      <c r="AM12" s="62">
        <f t="shared" si="5"/>
        <v>3.5454545454545454</v>
      </c>
      <c r="AN12" s="63">
        <v>1.75</v>
      </c>
      <c r="AO12" s="30">
        <v>1</v>
      </c>
      <c r="AP12" s="31">
        <v>1</v>
      </c>
      <c r="AS12" s="32">
        <v>1</v>
      </c>
      <c r="AV12" s="33">
        <v>1</v>
      </c>
      <c r="AY12" s="34">
        <v>1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 t="s">
        <v>105</v>
      </c>
      <c r="C13" s="25" t="s">
        <v>119</v>
      </c>
      <c r="D13" s="25">
        <v>20110</v>
      </c>
      <c r="E13" s="25" t="s">
        <v>118</v>
      </c>
      <c r="F13" s="7" t="s">
        <v>120</v>
      </c>
      <c r="G13" s="7" t="s">
        <v>76</v>
      </c>
      <c r="H13" s="7" t="s">
        <v>77</v>
      </c>
      <c r="I13" s="8"/>
      <c r="J13" s="8"/>
      <c r="K13" s="8"/>
      <c r="L13" s="25" t="s">
        <v>121</v>
      </c>
      <c r="M13" s="19" t="s">
        <v>122</v>
      </c>
      <c r="N13" s="25" t="s">
        <v>87</v>
      </c>
      <c r="O13" s="25" t="s">
        <v>52</v>
      </c>
      <c r="P13" s="25" t="s">
        <v>52</v>
      </c>
      <c r="Q13" s="25">
        <v>210</v>
      </c>
      <c r="R13" s="25">
        <v>185</v>
      </c>
      <c r="S13" s="25" t="s">
        <v>80</v>
      </c>
      <c r="T13" s="25">
        <v>30</v>
      </c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1.37</v>
      </c>
      <c r="AJ13" s="63">
        <f t="shared" si="4"/>
        <v>1.37</v>
      </c>
      <c r="AK13" s="42">
        <v>0</v>
      </c>
      <c r="AL13" s="23" t="s">
        <v>95</v>
      </c>
      <c r="AM13" s="62">
        <f t="shared" si="5"/>
        <v>3.5454545454545454</v>
      </c>
      <c r="AN13" s="63">
        <v>1.75</v>
      </c>
      <c r="AO13" s="30">
        <v>1</v>
      </c>
      <c r="AP13" s="31">
        <v>1</v>
      </c>
      <c r="AS13" s="32">
        <v>1</v>
      </c>
      <c r="AV13" s="33">
        <v>1</v>
      </c>
      <c r="AY13" s="34">
        <v>1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 t="s">
        <v>73</v>
      </c>
      <c r="C14" s="25" t="s">
        <v>123</v>
      </c>
      <c r="D14" s="25">
        <v>20111</v>
      </c>
      <c r="E14" s="25" t="s">
        <v>124</v>
      </c>
      <c r="F14" s="7" t="s">
        <v>53</v>
      </c>
      <c r="G14" s="7" t="s">
        <v>53</v>
      </c>
      <c r="H14" s="7" t="s">
        <v>92</v>
      </c>
      <c r="I14" s="8"/>
      <c r="J14" s="8"/>
      <c r="K14" s="8"/>
      <c r="L14" s="25" t="s">
        <v>93</v>
      </c>
      <c r="M14" s="19" t="s">
        <v>125</v>
      </c>
      <c r="N14" s="25" t="s">
        <v>87</v>
      </c>
      <c r="O14" s="25" t="s">
        <v>52</v>
      </c>
      <c r="P14" s="25" t="s">
        <v>52</v>
      </c>
      <c r="Q14" s="25">
        <v>260</v>
      </c>
      <c r="R14" s="25">
        <v>185</v>
      </c>
      <c r="S14" s="25" t="s">
        <v>80</v>
      </c>
      <c r="T14" s="25">
        <v>30</v>
      </c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1.37</v>
      </c>
      <c r="AJ14" s="63">
        <f t="shared" si="4"/>
        <v>1.37</v>
      </c>
      <c r="AK14" s="99" t="s">
        <v>97</v>
      </c>
      <c r="AL14" s="23" t="s">
        <v>95</v>
      </c>
      <c r="AM14" s="62">
        <f t="shared" si="5"/>
        <v>1.5568181818181819</v>
      </c>
      <c r="AN14" s="63">
        <v>0</v>
      </c>
      <c r="AO14" s="30">
        <v>1</v>
      </c>
      <c r="AP14" s="31">
        <v>1</v>
      </c>
      <c r="AS14" s="32">
        <v>1</v>
      </c>
      <c r="AV14" s="33">
        <v>1</v>
      </c>
      <c r="AY14" s="34">
        <v>1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 t="s">
        <v>105</v>
      </c>
      <c r="C15" s="25" t="s">
        <v>127</v>
      </c>
      <c r="D15" s="25">
        <v>20112</v>
      </c>
      <c r="E15" s="25" t="s">
        <v>126</v>
      </c>
      <c r="F15" s="7" t="s">
        <v>53</v>
      </c>
      <c r="G15" s="7" t="s">
        <v>53</v>
      </c>
      <c r="H15" s="7" t="s">
        <v>92</v>
      </c>
      <c r="I15" s="8"/>
      <c r="J15" s="8"/>
      <c r="K15" s="8"/>
      <c r="L15" s="25" t="s">
        <v>93</v>
      </c>
      <c r="M15" s="19" t="s">
        <v>125</v>
      </c>
      <c r="N15" s="25" t="s">
        <v>87</v>
      </c>
      <c r="O15" s="25" t="s">
        <v>52</v>
      </c>
      <c r="P15" s="25" t="s">
        <v>52</v>
      </c>
      <c r="Q15" s="25">
        <v>240</v>
      </c>
      <c r="R15" s="25">
        <v>185</v>
      </c>
      <c r="S15" s="25" t="s">
        <v>80</v>
      </c>
      <c r="T15" s="25">
        <v>30</v>
      </c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1.37</v>
      </c>
      <c r="AJ15" s="63">
        <f t="shared" si="4"/>
        <v>1.37</v>
      </c>
      <c r="AK15" s="99" t="s">
        <v>97</v>
      </c>
      <c r="AL15" s="23" t="s">
        <v>95</v>
      </c>
      <c r="AM15" s="62">
        <f t="shared" si="5"/>
        <v>1.5568181818181819</v>
      </c>
      <c r="AN15" s="63">
        <v>0</v>
      </c>
      <c r="AO15" s="30">
        <v>1</v>
      </c>
      <c r="AP15" s="31">
        <v>1</v>
      </c>
      <c r="AS15" s="32">
        <v>1</v>
      </c>
      <c r="AV15" s="33">
        <v>1</v>
      </c>
      <c r="AY15" s="34">
        <v>1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 t="s">
        <v>128</v>
      </c>
      <c r="C16" s="25" t="s">
        <v>129</v>
      </c>
      <c r="D16" s="25">
        <v>20113</v>
      </c>
      <c r="E16" s="25" t="s">
        <v>74</v>
      </c>
      <c r="F16" s="7" t="s">
        <v>53</v>
      </c>
      <c r="G16" s="7" t="s">
        <v>76</v>
      </c>
      <c r="H16" s="7" t="s">
        <v>77</v>
      </c>
      <c r="I16" s="8"/>
      <c r="J16" s="8"/>
      <c r="K16" s="8"/>
      <c r="L16" s="25" t="s">
        <v>130</v>
      </c>
      <c r="M16" s="102" t="s">
        <v>131</v>
      </c>
      <c r="N16" s="25" t="s">
        <v>87</v>
      </c>
      <c r="O16" s="25" t="s">
        <v>52</v>
      </c>
      <c r="P16" s="25" t="s">
        <v>52</v>
      </c>
      <c r="Q16" s="25">
        <v>255</v>
      </c>
      <c r="R16" s="25">
        <v>180</v>
      </c>
      <c r="S16" s="25" t="s">
        <v>80</v>
      </c>
      <c r="T16" s="25">
        <v>40</v>
      </c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1.37</v>
      </c>
      <c r="AJ16" s="63">
        <f t="shared" si="4"/>
        <v>1.37</v>
      </c>
      <c r="AK16" s="42">
        <v>0</v>
      </c>
      <c r="AL16" s="23" t="s">
        <v>95</v>
      </c>
      <c r="AM16" s="62">
        <f t="shared" si="5"/>
        <v>1.5568181818181819</v>
      </c>
      <c r="AN16" s="63">
        <v>0</v>
      </c>
      <c r="AO16" s="30">
        <v>1</v>
      </c>
      <c r="AP16" s="31">
        <v>1</v>
      </c>
      <c r="AS16" s="32">
        <v>1</v>
      </c>
      <c r="AV16" s="33">
        <v>1</v>
      </c>
      <c r="AY16" s="34">
        <v>1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 t="s">
        <v>102</v>
      </c>
      <c r="C17" s="25" t="s">
        <v>132</v>
      </c>
      <c r="D17" s="25">
        <v>20114</v>
      </c>
      <c r="E17" s="25" t="s">
        <v>114</v>
      </c>
      <c r="F17" s="7" t="s">
        <v>53</v>
      </c>
      <c r="G17" s="7" t="s">
        <v>76</v>
      </c>
      <c r="H17" s="7" t="s">
        <v>77</v>
      </c>
      <c r="I17" s="8"/>
      <c r="J17" s="8"/>
      <c r="K17" s="8"/>
      <c r="L17" s="25"/>
      <c r="M17" s="102"/>
      <c r="N17" s="25" t="s">
        <v>87</v>
      </c>
      <c r="O17" s="25" t="s">
        <v>52</v>
      </c>
      <c r="P17" s="25" t="s">
        <v>52</v>
      </c>
      <c r="Q17" s="25">
        <v>245</v>
      </c>
      <c r="R17" s="25">
        <v>185</v>
      </c>
      <c r="S17" s="25" t="s">
        <v>80</v>
      </c>
      <c r="T17" s="25">
        <v>40</v>
      </c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>
        <v>20115</v>
      </c>
      <c r="E18" s="25"/>
      <c r="F18" s="8"/>
      <c r="G18" s="8"/>
      <c r="H18" s="8"/>
      <c r="I18" s="8"/>
      <c r="J18" s="8"/>
      <c r="K18" s="8"/>
      <c r="L18" s="25"/>
      <c r="M18" s="102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>
        <v>20116</v>
      </c>
      <c r="E19" s="25"/>
      <c r="F19" s="8"/>
      <c r="G19" s="8"/>
      <c r="H19" s="8"/>
      <c r="I19" s="8"/>
      <c r="J19" s="8"/>
      <c r="K19" s="8"/>
      <c r="L19" s="25"/>
      <c r="M19" s="102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>
        <v>20117</v>
      </c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55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phoneticPr fontId="23" type="noConversion"/>
  <conditionalFormatting sqref="AP4:AR6 AR3 AO7:AU16 AY7:AY16 AV7:AX26 AZ7:BB15 BC7:BD16">
    <cfRule type="cellIs" dxfId="9" priority="32" operator="equal">
      <formula>1</formula>
    </cfRule>
  </conditionalFormatting>
  <conditionalFormatting sqref="AP3: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6">
    <cfRule type="cellIs" dxfId="6" priority="29" operator="equal">
      <formula>1</formula>
    </cfRule>
  </conditionalFormatting>
  <conditionalFormatting sqref="AS3:AU6">
    <cfRule type="cellIs" dxfId="5" priority="28" operator="equal">
      <formula>1</formula>
    </cfRule>
  </conditionalFormatting>
  <conditionalFormatting sqref="AV3:AX6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6">
    <cfRule type="cellIs" dxfId="2" priority="25" operator="equal">
      <formula>1</formula>
    </cfRule>
  </conditionalFormatting>
  <conditionalFormatting sqref="AZ3:BB6 AZ16:BA16">
    <cfRule type="cellIs" dxfId="1" priority="24" operator="equal">
      <formula>1</formula>
    </cfRule>
  </conditionalFormatting>
  <conditionalFormatting sqref="BC3:BD6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2026-05-19T11:26:47Z</dcterms:modified>
</cp:coreProperties>
</file>