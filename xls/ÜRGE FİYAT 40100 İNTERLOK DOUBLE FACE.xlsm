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A5FDFD8F-F938-4FF5-9747-A36412E5833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7" i="1"/>
  <c r="AJ4" i="1" l="1"/>
  <c r="AJ5" i="1"/>
  <c r="AJ6" i="1"/>
  <c r="AM17" i="1" l="1"/>
  <c r="AM18" i="1"/>
  <c r="AM4" i="1" l="1"/>
  <c r="AM5" i="1"/>
  <c r="AM6" i="1"/>
  <c r="AM7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C3" authorId="0" shapeId="0" xr:uid="{34F4D227-A2EE-4AEA-9A76-8880F975CB92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2026.1032.25.1</t>
        </r>
      </text>
    </comment>
    <comment ref="AG3" authorId="0" shapeId="0" xr:uid="{59297EA1-DF31-4A96-808A-B52B250CE570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%70 VERİM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USD:45 TL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C4" authorId="0" shapeId="0" xr:uid="{266F293C-6212-4174-AFD3-595AD456612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2026.1032.23.1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USD:45 TL</t>
        </r>
      </text>
    </comment>
    <comment ref="C5" authorId="0" shapeId="0" xr:uid="{759D1223-57BA-49FD-96BA-25C48983A6AC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2026.1032.22.1
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USD:45 TL</t>
        </r>
      </text>
    </comment>
    <comment ref="C7" authorId="0" shapeId="0" xr:uid="{2FA39FDC-FFD0-4897-94C2-6A2DD20A5F4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DB7A485B-EA3D-45A3-9AD9-35B742F6235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USD:45 TL
</t>
        </r>
      </text>
    </comment>
    <comment ref="AJ7" authorId="0" shapeId="0" xr:uid="{4A58F2D3-3F9B-49CB-8F7D-AB65DE576CB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<sst xmlns="http://schemas.openxmlformats.org/spreadsheetml/2006/main" count="119" uniqueCount="91">
  <si>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</si>
  <si>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</si>
  <si>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</si>
  <si>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</si>
  <si>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</si>
  <si>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</si>
  <si>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</si>
  <si>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</si>
  <si>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</si>
  <si>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</si>
  <si>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</si>
  <si>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</si>
  <si>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</si>
  <si>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</si>
  <si>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</si>
  <si>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</si>
  <si>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</si>
  <si>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</si>
  <si>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</si>
  <si>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</si>
  <si>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</si>
  <si>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</si>
  <si>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</si>
  <si>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</si>
  <si>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</si>
  <si>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</si>
  <si>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</si>
  <si>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</si>
  <si>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</si>
  <si>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</si>
  <si>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</si>
  <si>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</si>
  <si>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</si>
  <si>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</si>
  <si>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</si>
  <si>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</si>
  <si>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</si>
  <si>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</si>
  <si>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</si>
  <si>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</si>
  <si>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</si>
  <si>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</si>
  <si>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</si>
  <si>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</si>
  <si>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</si>
  <si>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</si>
  <si>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</si>
  <si>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</si>
  <si>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</si>
  <si>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</si>
  <si>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</si>
  <si>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</si>
  <si>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</si>
  <si>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</si>
  <si>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</si>
  <si>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</si>
  <si>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28/1</t>
  </si>
  <si>
    <t>GÜNCEL FİYAT</t>
  </si>
  <si>
    <t>3*20</t>
  </si>
  <si>
    <t>NEVRES ÜRGE</t>
  </si>
  <si>
    <t>23/1</t>
  </si>
  <si>
    <t>34/24</t>
  </si>
  <si>
    <t>28/24/28 KESİK ELYAF %100 PES//PENYE//KESİK ELYAF  %100 PES</t>
  </si>
  <si>
    <t>PRODUCT</t>
  </si>
  <si>
    <t>COMPOSITION</t>
  </si>
  <si>
    <t>COLOR</t>
  </si>
  <si>
    <t>21/29/21</t>
  </si>
  <si>
    <t>30/1 VORTEKS PAM/PES(50-50)//28/1 VORTEKS %100 PES//30/1 VORTEKS PAM/PES(50-50)</t>
  </si>
  <si>
    <t>DIAGONAL OTTOMAN INTERLOCK</t>
  </si>
  <si>
    <t>28/1 VORTEKS POLY/VİS(65-35)</t>
  </si>
  <si>
    <t>%65 Polyester %35 Viscose</t>
  </si>
  <si>
    <t>%65 Polyester %35 Cotton</t>
  </si>
  <si>
    <t>%58 Polyester %42 Cotton</t>
  </si>
  <si>
    <t>BYM:ÇBYM:ENZİM:RAM:AEN SANFOR:ŞRD:TRŞ:FRÇ:ÇİFT ŞRD:ÇİFT FRÇ</t>
  </si>
  <si>
    <t>SİPARİŞ</t>
  </si>
  <si>
    <t>1031.54.1</t>
  </si>
  <si>
    <t>STANDART
TUŞE</t>
  </si>
  <si>
    <t>ZEKİ BEY KAZAK NUMUNESİ İÇİN ÜRETİLDİ! İLK ÜRETİM DÜŞÜK GRAMAJDI VE 2.DEFA ÜRETİLDİ</t>
  </si>
  <si>
    <t>1031.53.1</t>
  </si>
  <si>
    <t>30/1 RİNG PENYE/POLYESTER(60-40)</t>
  </si>
  <si>
    <t xml:space="preserve">TWILL DOUBLE FACE                                                          </t>
  </si>
  <si>
    <t>34/20</t>
  </si>
  <si>
    <t>52/58/65,5</t>
  </si>
  <si>
    <t>BYM+S.TUŞE+ŞARDON+TRAŞ+RAM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</si>
  <si>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</si>
  <si>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</si>
  <si>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</si>
  <si>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</si>
  <si>
    <t>BROWN</t>
  </si>
  <si>
    <t>NAVY BLUE</t>
  </si>
  <si>
    <t>KAT SAYI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</si>
</sst>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B1" zoomScale="115" zoomScaleNormal="115" workbookViewId="0">
      <pane ySplit="2" topLeftCell="A3" activePane="bottomLeft" state="frozen"/>
      <selection pane="bottomLeft" activeCell="B4" sqref="B4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51.285156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AH1" s="49">
        <v>1</v>
      </c>
      <c r="AI1" s="60"/>
      <c r="AJ1" s="70"/>
      <c r="AK1" s="75"/>
      <c r="AL1" s="50" t="s">
        <v>73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74</v>
      </c>
      <c r="C2" s="85" t="s">
        <v>1</v>
      </c>
      <c r="D2" s="85" t="s">
        <v>0</v>
      </c>
      <c r="E2" s="85" t="s">
        <v>65</v>
      </c>
      <c r="F2" s="86" t="s">
        <v>8</v>
      </c>
      <c r="G2" s="86" t="s">
        <v>9</v>
      </c>
      <c r="H2" s="86" t="s">
        <v>10</v>
      </c>
      <c r="I2" s="86" t="s">
        <v>11</v>
      </c>
      <c r="J2" s="86" t="s">
        <v>12</v>
      </c>
      <c r="K2" s="86" t="s">
        <v>44</v>
      </c>
      <c r="L2" s="87" t="s">
        <v>15</v>
      </c>
      <c r="M2" s="85" t="s">
        <v>14</v>
      </c>
      <c r="N2" s="88" t="s">
        <v>63</v>
      </c>
      <c r="O2" s="89" t="s">
        <v>13</v>
      </c>
      <c r="P2" s="89" t="s">
        <v>22</v>
      </c>
      <c r="Q2" s="89" t="s">
        <v>87</v>
      </c>
      <c r="R2" s="89" t="s">
        <v>2</v>
      </c>
      <c r="S2" s="89" t="s">
        <v>29</v>
      </c>
      <c r="T2" s="89" t="s">
        <v>28</v>
      </c>
      <c r="U2" s="90" t="s">
        <v>17</v>
      </c>
      <c r="V2" s="90" t="s">
        <v>18</v>
      </c>
      <c r="W2" s="90" t="s">
        <v>19</v>
      </c>
      <c r="X2" s="90" t="s">
        <v>20</v>
      </c>
      <c r="Y2" s="90" t="s">
        <v>21</v>
      </c>
      <c r="Z2" s="90" t="s">
        <v>45</v>
      </c>
      <c r="AA2" s="91" t="s">
        <v>23</v>
      </c>
      <c r="AB2" s="91" t="s">
        <v>24</v>
      </c>
      <c r="AC2" s="91" t="s">
        <v>25</v>
      </c>
      <c r="AD2" s="91" t="s">
        <v>26</v>
      </c>
      <c r="AE2" s="91" t="s">
        <v>27</v>
      </c>
      <c r="AF2" s="91" t="s">
        <v>46</v>
      </c>
      <c r="AG2" s="92" t="s">
        <v>16</v>
      </c>
      <c r="AH2" s="93" t="s">
        <v>90</v>
      </c>
      <c r="AI2" s="94" t="s">
        <v>30</v>
      </c>
      <c r="AJ2" s="95" t="s">
        <v>31</v>
      </c>
      <c r="AK2" s="89" t="s">
        <v>64</v>
      </c>
      <c r="AL2" s="96" t="s">
        <v>50</v>
      </c>
      <c r="AM2" s="97" t="s">
        <v>52</v>
      </c>
      <c r="AN2" s="98" t="s">
        <v>51</v>
      </c>
      <c r="AO2" s="78" t="s">
        <v>43</v>
      </c>
      <c r="AP2" s="79" t="s">
        <v>49</v>
      </c>
      <c r="AQ2" s="79" t="s">
        <v>33</v>
      </c>
      <c r="AR2" s="79" t="s">
        <v>32</v>
      </c>
      <c r="AS2" s="80" t="s">
        <v>34</v>
      </c>
      <c r="AT2" s="80" t="s">
        <v>35</v>
      </c>
      <c r="AU2" s="80" t="s">
        <v>38</v>
      </c>
      <c r="AV2" s="81" t="s">
        <v>76</v>
      </c>
      <c r="AW2" s="81" t="s">
        <v>36</v>
      </c>
      <c r="AX2" s="81" t="s">
        <v>37</v>
      </c>
      <c r="AY2" s="82" t="s">
        <v>39</v>
      </c>
      <c r="AZ2" s="83" t="s">
        <v>40</v>
      </c>
      <c r="BA2" s="83" t="s">
        <v>41</v>
      </c>
      <c r="BB2" s="83" t="s">
        <v>42</v>
      </c>
      <c r="BC2" s="84" t="s">
        <v>47</v>
      </c>
      <c r="BD2" s="84" t="s">
        <v>48</v>
      </c>
      <c r="BE2" s="77" t="s">
        <v>6</v>
      </c>
      <c r="BF2" s="77" t="s">
        <v>7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74" t="s">
        <v>59</v>
      </c>
      <c r="C3" s="25" t="s">
        <v>75</v>
      </c>
      <c r="D3" s="25">
        <v>40100</v>
      </c>
      <c r="E3" s="25" t="s">
        <v>88</v>
      </c>
      <c r="F3" s="7" t="s">
        <v>56</v>
      </c>
      <c r="G3" s="7" t="s">
        <v>60</v>
      </c>
      <c r="H3" s="7" t="s">
        <v>56</v>
      </c>
      <c r="I3" s="8"/>
      <c r="J3" s="8"/>
      <c r="K3" s="8"/>
      <c r="L3" s="25" t="s">
        <v>66</v>
      </c>
      <c r="M3" s="19" t="s">
        <v>62</v>
      </c>
      <c r="N3" s="25" t="s">
        <v>68</v>
      </c>
      <c r="O3" s="25" t="s">
        <v>54</v>
      </c>
      <c r="P3" s="25" t="s">
        <v>54</v>
      </c>
      <c r="Q3" s="25"/>
      <c r="R3" s="25"/>
      <c r="S3" s="25" t="s">
        <v>61</v>
      </c>
      <c r="T3" s="22" t="s">
        <v>53</v>
      </c>
      <c r="U3" s="27">
        <v>0.28999999999999998</v>
      </c>
      <c r="V3" s="27">
        <v>0.42</v>
      </c>
      <c r="W3" s="27">
        <v>0.28999999999999998</v>
      </c>
      <c r="X3" s="27"/>
      <c r="Y3" s="27"/>
      <c r="Z3" s="27"/>
      <c r="AA3" s="45"/>
      <c r="AB3" s="45"/>
      <c r="AC3" s="45"/>
      <c r="AD3" s="45"/>
      <c r="AE3" s="45"/>
      <c r="AF3" s="45"/>
      <c r="AG3" s="20">
        <v>300</v>
      </c>
      <c r="AH3" s="21">
        <v>1.944</v>
      </c>
      <c r="AI3" s="71">
        <v>1.944</v>
      </c>
      <c r="AJ3" s="63">
        <f>((U3*AA3)+(V3*AB3)+(W3*AC3)+(X3*AD3)+(Y3*AE3)+(Z3*AF3))/0.95+AI3</f>
        <v>1.944</v>
      </c>
      <c r="AK3" s="18" t="s">
        <v>72</v>
      </c>
      <c r="AL3" s="23" t="s">
        <v>83</v>
      </c>
      <c r="AM3" s="62">
        <f>(AJ3+AN3)/0.88</f>
        <v>4.254545454545454</v>
      </c>
      <c r="AN3" s="59">
        <v>1.8</v>
      </c>
      <c r="AO3" s="30"/>
      <c r="AP3" s="31">
        <v>1</v>
      </c>
      <c r="AQ3" s="31"/>
      <c r="AR3" s="31"/>
      <c r="AS3" s="32"/>
      <c r="AT3" s="32"/>
      <c r="AU3" s="32"/>
      <c r="AV3" s="33">
        <v>1</v>
      </c>
      <c r="AW3" s="33"/>
      <c r="AX3" s="33"/>
      <c r="AY3" s="34">
        <v>1</v>
      </c>
      <c r="AZ3" s="35">
        <v>1</v>
      </c>
      <c r="BA3" s="35"/>
      <c r="BB3" s="35">
        <v>1</v>
      </c>
      <c r="BC3" s="36"/>
      <c r="BD3" s="36"/>
      <c r="BE3" s="24"/>
      <c r="BF3" s="24"/>
      <c r="BG3" s="24"/>
      <c r="BH3" s="24"/>
      <c r="BI3" s="17" t="s">
        <v>77</v>
      </c>
      <c r="BJ3" s="6" t="s">
        <v>57</v>
      </c>
    </row>
    <row r="4" spans="2:84" s="6" customFormat="1" ht="24.95" customHeight="1" x14ac:dyDescent="0.25">
      <c r="B4" s="25" t="s">
        <v>59</v>
      </c>
      <c r="C4" s="25"/>
      <c r="D4" s="25">
        <v>40101</v>
      </c>
      <c r="E4" s="25"/>
      <c r="F4" s="7" t="s">
        <v>55</v>
      </c>
      <c r="G4" s="7" t="s">
        <v>56</v>
      </c>
      <c r="H4" s="7" t="s">
        <v>55</v>
      </c>
      <c r="I4" s="8"/>
      <c r="J4" s="8"/>
      <c r="K4" s="8"/>
      <c r="L4" s="25" t="s">
        <v>66</v>
      </c>
      <c r="M4" s="19" t="s">
        <v>67</v>
      </c>
      <c r="N4" s="25" t="s">
        <v>68</v>
      </c>
      <c r="O4" s="25" t="s">
        <v>54</v>
      </c>
      <c r="P4" s="25" t="s">
        <v>54</v>
      </c>
      <c r="Q4" s="25"/>
      <c r="R4" s="25"/>
      <c r="S4" s="25" t="s">
        <v>61</v>
      </c>
      <c r="T4" s="22" t="s">
        <v>53</v>
      </c>
      <c r="U4" s="27">
        <v>0.35</v>
      </c>
      <c r="V4" s="27">
        <v>0.3</v>
      </c>
      <c r="W4" s="27">
        <v>0.35</v>
      </c>
      <c r="X4" s="27"/>
      <c r="Y4" s="27"/>
      <c r="Z4" s="27"/>
      <c r="AA4" s="45"/>
      <c r="AB4" s="45"/>
      <c r="AC4" s="45"/>
      <c r="AD4" s="45"/>
      <c r="AE4" s="45"/>
      <c r="AF4" s="45"/>
      <c r="AG4" s="20">
        <v>300</v>
      </c>
      <c r="AH4" s="21"/>
      <c r="AI4" s="71">
        <v>0</v>
      </c>
      <c r="AJ4" s="63">
        <f t="shared" ref="AJ4:AJ6" si="0">((U4*AA4)+(V4*AB4)+(W4*AC4)+(X4*AD4)+(Y4*AE4)+(Z4*AF4))/0.95+AI4</f>
        <v>0</v>
      </c>
      <c r="AK4" s="18" t="s">
        <v>71</v>
      </c>
      <c r="AL4" s="23"/>
      <c r="AM4" s="62">
        <f t="shared" ref="AM4:AM6" si="1">(AJ4+AN4)/0.88</f>
        <v>0</v>
      </c>
      <c r="AN4" s="59">
        <v>0</v>
      </c>
      <c r="AO4" s="30"/>
      <c r="AP4" s="31"/>
      <c r="AQ4" s="31"/>
      <c r="AR4" s="31"/>
      <c r="AS4" s="32"/>
      <c r="AT4" s="32"/>
      <c r="AU4" s="32"/>
      <c r="AV4" s="33"/>
      <c r="AW4" s="33"/>
      <c r="AX4" s="33"/>
      <c r="AY4" s="34"/>
      <c r="AZ4" s="35"/>
      <c r="BA4" s="35"/>
      <c r="BB4" s="35"/>
      <c r="BC4" s="36"/>
      <c r="BD4" s="36"/>
      <c r="BE4" s="24"/>
      <c r="BF4" s="24"/>
      <c r="BG4" s="24"/>
      <c r="BH4" s="24"/>
      <c r="BI4" s="17"/>
      <c r="BJ4" s="6" t="s">
        <v>57</v>
      </c>
    </row>
    <row r="5" spans="2:84" s="6" customFormat="1" ht="24.95" customHeight="1" x14ac:dyDescent="0.25">
      <c r="B5" s="25" t="s">
        <v>59</v>
      </c>
      <c r="C5" s="25"/>
      <c r="D5" s="25">
        <v>40102</v>
      </c>
      <c r="E5" s="25"/>
      <c r="F5" s="7" t="s">
        <v>56</v>
      </c>
      <c r="G5" s="7"/>
      <c r="H5" s="7"/>
      <c r="I5" s="8"/>
      <c r="J5" s="8"/>
      <c r="K5" s="8"/>
      <c r="L5" s="25" t="s">
        <v>66</v>
      </c>
      <c r="M5" s="19" t="s">
        <v>69</v>
      </c>
      <c r="N5" s="25" t="s">
        <v>68</v>
      </c>
      <c r="O5" s="25" t="s">
        <v>54</v>
      </c>
      <c r="P5" s="25" t="s">
        <v>54</v>
      </c>
      <c r="Q5" s="25"/>
      <c r="R5" s="25"/>
      <c r="S5" s="25" t="s">
        <v>61</v>
      </c>
      <c r="T5" s="22" t="s">
        <v>53</v>
      </c>
      <c r="U5" s="27">
        <v>1</v>
      </c>
      <c r="V5" s="27"/>
      <c r="W5" s="27"/>
      <c r="X5" s="27"/>
      <c r="Y5" s="27"/>
      <c r="Z5" s="27"/>
      <c r="AA5" s="45"/>
      <c r="AB5" s="45"/>
      <c r="AC5" s="45"/>
      <c r="AD5" s="45"/>
      <c r="AE5" s="45"/>
      <c r="AF5" s="45"/>
      <c r="AG5" s="20">
        <v>300</v>
      </c>
      <c r="AH5" s="21"/>
      <c r="AI5" s="71">
        <v>0</v>
      </c>
      <c r="AJ5" s="63">
        <f t="shared" si="0"/>
        <v>0</v>
      </c>
      <c r="AK5" s="18" t="s">
        <v>70</v>
      </c>
      <c r="AL5" s="23"/>
      <c r="AM5" s="62">
        <f t="shared" si="1"/>
        <v>0</v>
      </c>
      <c r="AN5" s="59">
        <v>0</v>
      </c>
      <c r="AO5" s="30"/>
      <c r="AP5" s="31"/>
      <c r="AQ5" s="31"/>
      <c r="AR5" s="31"/>
      <c r="AS5" s="32"/>
      <c r="AT5" s="32"/>
      <c r="AU5" s="32"/>
      <c r="AV5" s="33"/>
      <c r="AW5" s="33"/>
      <c r="AX5" s="33"/>
      <c r="AY5" s="34"/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57</v>
      </c>
    </row>
    <row r="6" spans="2:84" s="6" customFormat="1" ht="24.95" customHeight="1" x14ac:dyDescent="0.25">
      <c r="B6" s="25" t="s">
        <v>59</v>
      </c>
      <c r="C6" s="25"/>
      <c r="D6" s="25">
        <v>40103</v>
      </c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>
        <v>0</v>
      </c>
      <c r="AL6" s="23"/>
      <c r="AM6" s="62">
        <f t="shared" si="1"/>
        <v>0</v>
      </c>
      <c r="AN6" s="59">
        <v>0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57</v>
      </c>
    </row>
    <row r="7" spans="2:84" ht="24.95" customHeight="1" x14ac:dyDescent="0.25">
      <c r="B7" s="74" t="s">
        <v>59</v>
      </c>
      <c r="C7" s="25" t="s">
        <v>78</v>
      </c>
      <c r="D7" s="25">
        <v>40104</v>
      </c>
      <c r="E7" s="25" t="s">
        <v>89</v>
      </c>
      <c r="F7" s="7" t="s">
        <v>55</v>
      </c>
      <c r="G7" s="8"/>
      <c r="H7" s="8"/>
      <c r="I7" s="8"/>
      <c r="J7" s="8"/>
      <c r="K7" s="8"/>
      <c r="L7" s="25" t="s">
        <v>82</v>
      </c>
      <c r="M7" s="19" t="s">
        <v>79</v>
      </c>
      <c r="N7" s="25" t="s">
        <v>80</v>
      </c>
      <c r="O7" s="25" t="s">
        <v>54</v>
      </c>
      <c r="P7" s="25" t="s">
        <v>54</v>
      </c>
      <c r="Q7" s="25"/>
      <c r="R7" s="25"/>
      <c r="S7" s="25" t="s">
        <v>81</v>
      </c>
      <c r="T7" s="22" t="s">
        <v>53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2.2200000000000002</v>
      </c>
      <c r="AI7" s="71">
        <v>2.2200000000000002</v>
      </c>
      <c r="AJ7" s="63">
        <f t="shared" ref="AJ7:AJ10" si="2">((U7*AA7)+(V7*AB7)+(W7*AC7)+(X7*AD7)+(Y7*AE7)+(Z7*AF7))/0.95+AI7</f>
        <v>2.2200000000000002</v>
      </c>
      <c r="AK7" s="18" t="s">
        <v>84</v>
      </c>
      <c r="AL7" s="23" t="s">
        <v>85</v>
      </c>
      <c r="AM7" s="62">
        <f t="shared" ref="AM7:AM10" si="3">(AJ7+AN7)/0.88</f>
        <v>4.5681818181818183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86</v>
      </c>
    </row>
    <row r="8" spans="2:84" ht="24.95" customHeight="1" x14ac:dyDescent="0.25">
      <c r="B8" s="25"/>
      <c r="C8" s="25"/>
      <c r="D8" s="25"/>
      <c r="E8" s="25"/>
      <c r="F8" s="8"/>
      <c r="G8" s="8"/>
      <c r="H8" s="8"/>
      <c r="I8" s="8"/>
      <c r="J8" s="8"/>
      <c r="K8" s="8"/>
      <c r="L8" s="25"/>
      <c r="M8" s="19"/>
      <c r="N8" s="25"/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si="2"/>
        <v>0</v>
      </c>
      <c r="AK8" s="42">
        <v>0</v>
      </c>
      <c r="AL8" s="26"/>
      <c r="AM8" s="62">
        <f t="shared" si="3"/>
        <v>0</v>
      </c>
      <c r="AN8" s="63">
        <v>0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/>
      <c r="E9" s="25"/>
      <c r="F9" s="8"/>
      <c r="G9" s="8"/>
      <c r="H9" s="8"/>
      <c r="I9" s="8"/>
      <c r="J9" s="8"/>
      <c r="K9" s="8"/>
      <c r="L9" s="25"/>
      <c r="M9" s="19"/>
      <c r="N9" s="25"/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/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/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/>
      <c r="AI11" s="71">
        <v>0</v>
      </c>
      <c r="AJ11" s="63">
        <f t="shared" ref="AJ11:AJ16" si="4">((U11*AA11)+(V11*AB11)+(W11*AC11)+(X11*AD11)+(Y11*AE11)+(Z11*AF11))/0.95+AI11</f>
        <v>0</v>
      </c>
      <c r="AK11" s="42">
        <v>0</v>
      </c>
      <c r="AL11" s="26"/>
      <c r="AM11" s="62">
        <f t="shared" ref="AM11:AM18" si="5">(AJ11+AN11)/0.88</f>
        <v>0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/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/>
      <c r="AI12" s="71">
        <v>0</v>
      </c>
      <c r="AJ12" s="63">
        <f t="shared" si="4"/>
        <v>0</v>
      </c>
      <c r="AK12" s="42">
        <v>0</v>
      </c>
      <c r="AL12" s="26"/>
      <c r="AM12" s="62">
        <f t="shared" si="5"/>
        <v>0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/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/>
      <c r="AI13" s="71">
        <v>0</v>
      </c>
      <c r="AJ13" s="63">
        <f t="shared" si="4"/>
        <v>0</v>
      </c>
      <c r="AK13" s="42">
        <v>0</v>
      </c>
      <c r="AL13" s="26"/>
      <c r="AM13" s="62">
        <f t="shared" si="5"/>
        <v>0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/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/>
      <c r="AI14" s="71">
        <v>0</v>
      </c>
      <c r="AJ14" s="63">
        <f t="shared" si="4"/>
        <v>0</v>
      </c>
      <c r="AK14" s="42">
        <v>0</v>
      </c>
      <c r="AL14" s="26"/>
      <c r="AM14" s="62">
        <f t="shared" si="5"/>
        <v>0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/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/>
      <c r="AI15" s="71">
        <v>0</v>
      </c>
      <c r="AJ15" s="63">
        <f t="shared" si="4"/>
        <v>0</v>
      </c>
      <c r="AK15" s="42">
        <v>0</v>
      </c>
      <c r="AL15" s="26"/>
      <c r="AM15" s="62">
        <f t="shared" si="5"/>
        <v>0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/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/>
      <c r="AI16" s="71">
        <v>0</v>
      </c>
      <c r="AJ16" s="63">
        <f t="shared" si="4"/>
        <v>0</v>
      </c>
      <c r="AK16" s="42">
        <v>0</v>
      </c>
      <c r="AL16" s="26"/>
      <c r="AM16" s="62">
        <f t="shared" si="5"/>
        <v>0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/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/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/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/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58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P4:AR6 AP3 AR3 AO7:AU16 AY7:AY16 AV7:AX26 AZ7:BB15 BC7:BD16">
    <cfRule type="cellIs" dxfId="9" priority="32" operator="equal">
      <formula>1</formula>
    </cfRule>
  </conditionalFormatting>
  <conditionalFormatting sqref="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6">
    <cfRule type="cellIs" dxfId="6" priority="29" operator="equal">
      <formula>1</formula>
    </cfRule>
  </conditionalFormatting>
  <conditionalFormatting sqref="AS3:AU6">
    <cfRule type="cellIs" dxfId="5" priority="28" operator="equal">
      <formula>1</formula>
    </cfRule>
  </conditionalFormatting>
  <conditionalFormatting sqref="AV3:AX6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6">
    <cfRule type="cellIs" dxfId="2" priority="25" operator="equal">
      <formula>1</formula>
    </cfRule>
  </conditionalFormatting>
  <conditionalFormatting sqref="AZ3:BB6 AZ16:BA16">
    <cfRule type="cellIs" dxfId="1" priority="24" operator="equal">
      <formula>1</formula>
    </cfRule>
  </conditionalFormatting>
  <conditionalFormatting sqref="BC3:BD6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2026-05-07T07:13:55Z</dcterms:modified>
</cp:coreProperties>
</file>